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IYA_NIZAM\TRAINING\DATA ANALYSIS\Portfolio Projects\Employee Performance SQL Project\excel\"/>
    </mc:Choice>
  </mc:AlternateContent>
  <xr:revisionPtr revIDLastSave="0" documentId="13_ncr:1_{F5810965-4894-4D9A-B9CC-02E4E54018BE}" xr6:coauthVersionLast="47" xr6:coauthVersionMax="47" xr10:uidLastSave="{00000000-0000-0000-0000-000000000000}"/>
  <bookViews>
    <workbookView xWindow="-108" yWindow="-108" windowWidth="23256" windowHeight="12456" xr2:uid="{CEAFC817-1C9E-44DA-AA90-022A895115D9}"/>
  </bookViews>
  <sheets>
    <sheet name="Dashboard" sheetId="10" r:id="rId1"/>
    <sheet name="Pivot_Tables" sheetId="7" r:id="rId2"/>
    <sheet name="Data_Dictionary" sheetId="1" r:id="rId3"/>
    <sheet name="Data_Validation" sheetId="4" r:id="rId4"/>
    <sheet name="Data_Quality_Assessment" sheetId="5" r:id="rId5"/>
    <sheet name="Employee_Data" sheetId="2" r:id="rId6"/>
    <sheet name="Employee_Performance" sheetId="3" r:id="rId7"/>
    <sheet name="Employee_Summary" sheetId="6" r:id="rId8"/>
    <sheet name="Top_Bottom_Performers" sheetId="9" r:id="rId9"/>
  </sheets>
  <definedNames>
    <definedName name="ExternalData_1" localSheetId="5" hidden="1">Employee_Data!$A$1:$G$101</definedName>
    <definedName name="ExternalData_2" localSheetId="6" hidden="1">Employee_Performance!$A$1:$D$1130</definedName>
  </definedNames>
  <calcPr calcId="191029"/>
  <pivotCaches>
    <pivotCache cacheId="70" r:id="rId10"/>
    <pivotCache cacheId="7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F15" i="3" s="1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F31" i="3" s="1"/>
  <c r="E428" i="3"/>
  <c r="E429" i="3"/>
  <c r="E430" i="3"/>
  <c r="E431" i="3"/>
  <c r="E432" i="3"/>
  <c r="E433" i="3"/>
  <c r="E434" i="3"/>
  <c r="E435" i="3"/>
  <c r="E436" i="3"/>
  <c r="E437" i="3"/>
  <c r="E438" i="3"/>
  <c r="E439" i="3"/>
  <c r="F17" i="3" s="1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F45" i="3" s="1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F33" i="3" s="1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F61" i="3" s="1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F49" i="3" s="1"/>
  <c r="E594" i="3"/>
  <c r="E595" i="3"/>
  <c r="E596" i="3"/>
  <c r="E597" i="3"/>
  <c r="E598" i="3"/>
  <c r="E599" i="3"/>
  <c r="E600" i="3"/>
  <c r="E601" i="3"/>
  <c r="E602" i="3"/>
  <c r="E603" i="3"/>
  <c r="E604" i="3"/>
  <c r="E605" i="3"/>
  <c r="F62" i="3" s="1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F63" i="3" s="1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F97" i="3" s="1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F99" i="3" s="1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F122" i="3" s="1"/>
  <c r="E870" i="3"/>
  <c r="E871" i="3"/>
  <c r="E872" i="3"/>
  <c r="E873" i="3"/>
  <c r="E874" i="3"/>
  <c r="E875" i="3"/>
  <c r="E876" i="3"/>
  <c r="E877" i="3"/>
  <c r="E878" i="3"/>
  <c r="E879" i="3"/>
  <c r="E880" i="3"/>
  <c r="E881" i="3"/>
  <c r="F8" i="3" s="1"/>
  <c r="E882" i="3"/>
  <c r="E883" i="3"/>
  <c r="E884" i="3"/>
  <c r="E885" i="3"/>
  <c r="E886" i="3"/>
  <c r="E887" i="3"/>
  <c r="E888" i="3"/>
  <c r="E889" i="3"/>
  <c r="E890" i="3"/>
  <c r="E891" i="3"/>
  <c r="E892" i="3"/>
  <c r="E893" i="3"/>
  <c r="F121" i="3" s="1"/>
  <c r="E894" i="3"/>
  <c r="E895" i="3"/>
  <c r="E896" i="3"/>
  <c r="E897" i="3"/>
  <c r="E898" i="3"/>
  <c r="E899" i="3"/>
  <c r="E900" i="3"/>
  <c r="E901" i="3"/>
  <c r="E902" i="3"/>
  <c r="E903" i="3"/>
  <c r="E904" i="3"/>
  <c r="E905" i="3"/>
  <c r="F111" i="3" s="1"/>
  <c r="E906" i="3"/>
  <c r="E907" i="3"/>
  <c r="E908" i="3"/>
  <c r="E909" i="3"/>
  <c r="E910" i="3"/>
  <c r="E911" i="3"/>
  <c r="E912" i="3"/>
  <c r="E913" i="3"/>
  <c r="E914" i="3"/>
  <c r="E915" i="3"/>
  <c r="E916" i="3"/>
  <c r="E917" i="3"/>
  <c r="F2" i="3" s="1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F3" i="3" s="1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F123" i="3" s="1"/>
  <c r="E968" i="3"/>
  <c r="E969" i="3"/>
  <c r="E970" i="3"/>
  <c r="E971" i="3"/>
  <c r="E972" i="3"/>
  <c r="E973" i="3"/>
  <c r="E974" i="3"/>
  <c r="E975" i="3"/>
  <c r="E976" i="3"/>
  <c r="E977" i="3"/>
  <c r="E978" i="3"/>
  <c r="E979" i="3"/>
  <c r="F28" i="3" s="1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F135" i="3" s="1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F147" i="3" s="1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F159" i="3" s="1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F71" i="3" s="1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F183" i="3" s="1"/>
  <c r="E1124" i="3"/>
  <c r="E1125" i="3"/>
  <c r="E1126" i="3"/>
  <c r="E1127" i="3"/>
  <c r="E1128" i="3"/>
  <c r="E1129" i="3"/>
  <c r="E1130" i="3"/>
  <c r="F6" i="3"/>
  <c r="F26" i="3"/>
  <c r="F40" i="3"/>
  <c r="F54" i="3"/>
  <c r="F65" i="3"/>
  <c r="F66" i="3"/>
  <c r="F68" i="3"/>
  <c r="F77" i="3"/>
  <c r="F78" i="3"/>
  <c r="F79" i="3"/>
  <c r="F80" i="3"/>
  <c r="F88" i="3"/>
  <c r="F89" i="3"/>
  <c r="F90" i="3"/>
  <c r="F91" i="3"/>
  <c r="F92" i="3"/>
  <c r="F93" i="3"/>
  <c r="F94" i="3"/>
  <c r="F95" i="3"/>
  <c r="F100" i="3"/>
  <c r="F101" i="3"/>
  <c r="F102" i="3"/>
  <c r="F103" i="3"/>
  <c r="F104" i="3"/>
  <c r="F105" i="3"/>
  <c r="F106" i="3"/>
  <c r="F107" i="3"/>
  <c r="F112" i="3"/>
  <c r="F113" i="3"/>
  <c r="F114" i="3"/>
  <c r="F115" i="3"/>
  <c r="F116" i="3"/>
  <c r="F117" i="3"/>
  <c r="F118" i="3"/>
  <c r="F119" i="3"/>
  <c r="F124" i="3"/>
  <c r="F125" i="3"/>
  <c r="F126" i="3"/>
  <c r="F127" i="3"/>
  <c r="F128" i="3"/>
  <c r="F129" i="3"/>
  <c r="F130" i="3"/>
  <c r="F131" i="3"/>
  <c r="F136" i="3"/>
  <c r="F137" i="3"/>
  <c r="F138" i="3"/>
  <c r="F139" i="3"/>
  <c r="F140" i="3"/>
  <c r="F141" i="3"/>
  <c r="F142" i="3"/>
  <c r="F143" i="3"/>
  <c r="F148" i="3"/>
  <c r="F149" i="3"/>
  <c r="F150" i="3"/>
  <c r="F151" i="3"/>
  <c r="F152" i="3"/>
  <c r="F153" i="3"/>
  <c r="F154" i="3"/>
  <c r="F155" i="3"/>
  <c r="F160" i="3"/>
  <c r="F161" i="3"/>
  <c r="F162" i="3"/>
  <c r="F163" i="3"/>
  <c r="F164" i="3"/>
  <c r="F165" i="3"/>
  <c r="F166" i="3"/>
  <c r="F167" i="3"/>
  <c r="F172" i="3"/>
  <c r="F173" i="3"/>
  <c r="F174" i="3"/>
  <c r="F175" i="3"/>
  <c r="F176" i="3"/>
  <c r="F177" i="3"/>
  <c r="F178" i="3"/>
  <c r="F179" i="3"/>
  <c r="F184" i="3"/>
  <c r="F185" i="3"/>
  <c r="F186" i="3"/>
  <c r="F187" i="3"/>
  <c r="F188" i="3"/>
  <c r="F189" i="3"/>
  <c r="F190" i="3"/>
  <c r="F191" i="3"/>
  <c r="F196" i="3"/>
  <c r="F197" i="3"/>
  <c r="F198" i="3"/>
  <c r="F199" i="3"/>
  <c r="F200" i="3"/>
  <c r="F201" i="3"/>
  <c r="F202" i="3"/>
  <c r="F203" i="3"/>
  <c r="F204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G2" i="3"/>
  <c r="G3" i="3"/>
  <c r="G4" i="3"/>
  <c r="G5" i="3"/>
  <c r="H5" i="3" s="1" a="1"/>
  <c r="H5" i="3" s="1"/>
  <c r="G6" i="3"/>
  <c r="H6" i="3" s="1" a="1"/>
  <c r="H6" i="3" s="1"/>
  <c r="G7" i="3"/>
  <c r="H7" i="3" s="1" a="1"/>
  <c r="H7" i="3" s="1"/>
  <c r="G8" i="3"/>
  <c r="H8" i="3" s="1" a="1"/>
  <c r="H8" i="3" s="1"/>
  <c r="G9" i="3"/>
  <c r="G10" i="3"/>
  <c r="G11" i="3"/>
  <c r="G12" i="3"/>
  <c r="H12" i="3" s="1" a="1"/>
  <c r="H12" i="3" s="1"/>
  <c r="G13" i="3"/>
  <c r="H13" i="3" s="1" a="1"/>
  <c r="G14" i="3"/>
  <c r="H14" i="3" s="1" a="1"/>
  <c r="H14" i="3" s="1"/>
  <c r="G15" i="3"/>
  <c r="H15" i="3" s="1" a="1"/>
  <c r="H15" i="3" s="1"/>
  <c r="G16" i="3"/>
  <c r="H16" i="3" s="1" a="1"/>
  <c r="H16" i="3" s="1"/>
  <c r="G17" i="3"/>
  <c r="H17" i="3" s="1" a="1"/>
  <c r="H17" i="3" s="1"/>
  <c r="G18" i="3"/>
  <c r="H18" i="3" s="1" a="1"/>
  <c r="H18" i="3" s="1"/>
  <c r="G19" i="3"/>
  <c r="H19" i="3" s="1" a="1"/>
  <c r="H19" i="3" s="1"/>
  <c r="G20" i="3"/>
  <c r="H20" i="3" s="1" a="1"/>
  <c r="H20" i="3" s="1"/>
  <c r="G21" i="3"/>
  <c r="G22" i="3"/>
  <c r="G23" i="3"/>
  <c r="G24" i="3"/>
  <c r="G25" i="3"/>
  <c r="H25" i="3" s="1" a="1"/>
  <c r="H25" i="3" s="1"/>
  <c r="G26" i="3"/>
  <c r="H26" i="3" s="1" a="1"/>
  <c r="G27" i="3"/>
  <c r="H27" i="3" s="1" a="1"/>
  <c r="H27" i="3" s="1"/>
  <c r="G28" i="3"/>
  <c r="H28" i="3" s="1" a="1"/>
  <c r="H28" i="3" s="1"/>
  <c r="G29" i="3"/>
  <c r="H29" i="3" s="1" a="1"/>
  <c r="H29" i="3" s="1"/>
  <c r="G30" i="3"/>
  <c r="G31" i="3"/>
  <c r="H31" i="3" s="1" a="1"/>
  <c r="H31" i="3" s="1"/>
  <c r="G32" i="3"/>
  <c r="H32" i="3" s="1" a="1"/>
  <c r="H32" i="3" s="1"/>
  <c r="G33" i="3"/>
  <c r="G34" i="3"/>
  <c r="H34" i="3" s="1" a="1"/>
  <c r="H34" i="3" s="1"/>
  <c r="G35" i="3"/>
  <c r="G36" i="3"/>
  <c r="H36" i="3" s="1" a="1"/>
  <c r="H36" i="3" s="1"/>
  <c r="G37" i="3"/>
  <c r="G38" i="3"/>
  <c r="H38" i="3" s="1" a="1"/>
  <c r="H38" i="3" s="1"/>
  <c r="G39" i="3"/>
  <c r="H39" i="3" s="1" a="1"/>
  <c r="H39" i="3" s="1"/>
  <c r="G40" i="3"/>
  <c r="H40" i="3" s="1" a="1"/>
  <c r="H40" i="3" s="1"/>
  <c r="G41" i="3"/>
  <c r="H41" i="3" s="1" a="1"/>
  <c r="H41" i="3" s="1"/>
  <c r="G42" i="3"/>
  <c r="H42" i="3" s="1" a="1"/>
  <c r="H42" i="3" s="1"/>
  <c r="G43" i="3"/>
  <c r="H43" i="3" s="1" a="1"/>
  <c r="H43" i="3" s="1"/>
  <c r="G44" i="3"/>
  <c r="H44" i="3" s="1" a="1"/>
  <c r="H44" i="3" s="1"/>
  <c r="G45" i="3"/>
  <c r="H45" i="3" s="1" a="1"/>
  <c r="H45" i="3" s="1"/>
  <c r="G46" i="3"/>
  <c r="G47" i="3"/>
  <c r="G48" i="3"/>
  <c r="G49" i="3"/>
  <c r="G50" i="3"/>
  <c r="G51" i="3"/>
  <c r="H51" i="3" s="1" a="1"/>
  <c r="H51" i="3" s="1"/>
  <c r="G52" i="3"/>
  <c r="H52" i="3" s="1" a="1"/>
  <c r="H52" i="3" s="1"/>
  <c r="G53" i="3"/>
  <c r="H53" i="3" s="1" a="1"/>
  <c r="H53" i="3" s="1"/>
  <c r="G54" i="3"/>
  <c r="H54" i="3" s="1" a="1"/>
  <c r="H54" i="3" s="1"/>
  <c r="G55" i="3"/>
  <c r="H55" i="3" s="1" a="1"/>
  <c r="H55" i="3" s="1"/>
  <c r="G56" i="3"/>
  <c r="G57" i="3"/>
  <c r="H57" i="3" s="1" a="1"/>
  <c r="H57" i="3" s="1"/>
  <c r="G58" i="3"/>
  <c r="H58" i="3" s="1" a="1"/>
  <c r="H58" i="3" s="1"/>
  <c r="G59" i="3"/>
  <c r="G60" i="3"/>
  <c r="H60" i="3" s="1" a="1"/>
  <c r="H60" i="3" s="1"/>
  <c r="G61" i="3"/>
  <c r="G62" i="3"/>
  <c r="G63" i="3"/>
  <c r="H63" i="3" s="1" a="1"/>
  <c r="H63" i="3" s="1"/>
  <c r="G64" i="3"/>
  <c r="H64" i="3" s="1" a="1"/>
  <c r="H64" i="3" s="1"/>
  <c r="G65" i="3"/>
  <c r="H65" i="3" s="1" a="1"/>
  <c r="H65" i="3" s="1"/>
  <c r="G66" i="3"/>
  <c r="H66" i="3" s="1" a="1"/>
  <c r="H66" i="3" s="1"/>
  <c r="G67" i="3"/>
  <c r="H67" i="3" s="1" a="1"/>
  <c r="H67" i="3" s="1"/>
  <c r="G68" i="3"/>
  <c r="H68" i="3" s="1" a="1"/>
  <c r="H68" i="3" s="1"/>
  <c r="G69" i="3"/>
  <c r="G70" i="3"/>
  <c r="G71" i="3"/>
  <c r="G72" i="3"/>
  <c r="H72" i="3" s="1" a="1"/>
  <c r="G73" i="3"/>
  <c r="G74" i="3"/>
  <c r="G75" i="3"/>
  <c r="H75" i="3" s="1" a="1"/>
  <c r="H75" i="3" s="1"/>
  <c r="G76" i="3"/>
  <c r="H76" i="3" s="1" a="1"/>
  <c r="H76" i="3" s="1"/>
  <c r="G77" i="3"/>
  <c r="H77" i="3" s="1" a="1"/>
  <c r="H77" i="3" s="1"/>
  <c r="G78" i="3"/>
  <c r="H78" i="3" s="1" a="1"/>
  <c r="H78" i="3" s="1"/>
  <c r="G79" i="3"/>
  <c r="H79" i="3" s="1" a="1"/>
  <c r="H79" i="3" s="1"/>
  <c r="G80" i="3"/>
  <c r="H80" i="3" s="1" a="1"/>
  <c r="H80" i="3" s="1"/>
  <c r="G81" i="3"/>
  <c r="H81" i="3" s="1" a="1"/>
  <c r="H81" i="3" s="1"/>
  <c r="G82" i="3"/>
  <c r="H82" i="3" s="1" a="1"/>
  <c r="H82" i="3" s="1"/>
  <c r="G83" i="3"/>
  <c r="G84" i="3"/>
  <c r="H84" i="3" s="1" a="1"/>
  <c r="H84" i="3" s="1"/>
  <c r="G85" i="3"/>
  <c r="H85" i="3" s="1" a="1"/>
  <c r="H85" i="3" s="1"/>
  <c r="G86" i="3"/>
  <c r="G87" i="3"/>
  <c r="H87" i="3" s="1" a="1"/>
  <c r="H87" i="3" s="1"/>
  <c r="G88" i="3"/>
  <c r="H88" i="3" s="1" a="1"/>
  <c r="H88" i="3" s="1"/>
  <c r="G89" i="3"/>
  <c r="H89" i="3" s="1" a="1"/>
  <c r="H89" i="3" s="1"/>
  <c r="G90" i="3"/>
  <c r="H90" i="3" s="1" a="1"/>
  <c r="H90" i="3" s="1"/>
  <c r="G91" i="3"/>
  <c r="H91" i="3" s="1" a="1"/>
  <c r="H91" i="3" s="1"/>
  <c r="G92" i="3"/>
  <c r="H92" i="3" s="1" a="1"/>
  <c r="H92" i="3" s="1"/>
  <c r="G93" i="3"/>
  <c r="G94" i="3"/>
  <c r="G95" i="3"/>
  <c r="G96" i="3"/>
  <c r="G97" i="3"/>
  <c r="G98" i="3"/>
  <c r="H98" i="3" s="1" a="1"/>
  <c r="G99" i="3"/>
  <c r="H99" i="3" s="1" a="1"/>
  <c r="H99" i="3" s="1"/>
  <c r="G100" i="3"/>
  <c r="H100" i="3" s="1" a="1"/>
  <c r="H100" i="3" s="1"/>
  <c r="G101" i="3"/>
  <c r="H101" i="3" s="1" a="1"/>
  <c r="H101" i="3" s="1"/>
  <c r="G102" i="3"/>
  <c r="H102" i="3" s="1" a="1"/>
  <c r="H102" i="3" s="1"/>
  <c r="G103" i="3"/>
  <c r="H103" i="3" s="1" a="1"/>
  <c r="H103" i="3" s="1"/>
  <c r="G104" i="3"/>
  <c r="H104" i="3" s="1" a="1"/>
  <c r="H104" i="3" s="1"/>
  <c r="G105" i="3"/>
  <c r="H105" i="3" s="1" a="1"/>
  <c r="H105" i="3" s="1"/>
  <c r="G106" i="3"/>
  <c r="H106" i="3" s="1" a="1"/>
  <c r="H106" i="3" s="1"/>
  <c r="G107" i="3"/>
  <c r="G108" i="3"/>
  <c r="G109" i="3"/>
  <c r="G110" i="3"/>
  <c r="G111" i="3"/>
  <c r="H111" i="3" s="1" a="1"/>
  <c r="H111" i="3" s="1"/>
  <c r="G112" i="3"/>
  <c r="H112" i="3" s="1" a="1"/>
  <c r="H112" i="3" s="1"/>
  <c r="G113" i="3"/>
  <c r="H113" i="3" s="1" a="1"/>
  <c r="H113" i="3" s="1"/>
  <c r="G114" i="3"/>
  <c r="H114" i="3" s="1" a="1"/>
  <c r="G115" i="3"/>
  <c r="H115" i="3" s="1" a="1"/>
  <c r="H115" i="3" s="1"/>
  <c r="G116" i="3"/>
  <c r="H116" i="3" s="1" a="1"/>
  <c r="H116" i="3" s="1"/>
  <c r="G117" i="3"/>
  <c r="G118" i="3"/>
  <c r="G119" i="3"/>
  <c r="G120" i="3"/>
  <c r="G121" i="3"/>
  <c r="G122" i="3"/>
  <c r="H122" i="3" s="1" a="1"/>
  <c r="H122" i="3" s="1"/>
  <c r="G123" i="3"/>
  <c r="H123" i="3" s="1" a="1"/>
  <c r="H123" i="3" s="1"/>
  <c r="G124" i="3"/>
  <c r="H124" i="3" s="1" a="1"/>
  <c r="H124" i="3" s="1"/>
  <c r="G125" i="3"/>
  <c r="H125" i="3" s="1" a="1"/>
  <c r="H125" i="3" s="1"/>
  <c r="G126" i="3"/>
  <c r="H126" i="3" s="1" a="1"/>
  <c r="H126" i="3" s="1"/>
  <c r="G127" i="3"/>
  <c r="H127" i="3" s="1" a="1"/>
  <c r="H127" i="3" s="1"/>
  <c r="G128" i="3"/>
  <c r="H128" i="3" s="1" a="1"/>
  <c r="H128" i="3" s="1"/>
  <c r="G129" i="3"/>
  <c r="G130" i="3"/>
  <c r="G131" i="3"/>
  <c r="G132" i="3"/>
  <c r="G133" i="3"/>
  <c r="H133" i="3" s="1" a="1"/>
  <c r="G134" i="3"/>
  <c r="G135" i="3"/>
  <c r="H135" i="3" s="1" a="1"/>
  <c r="H135" i="3" s="1"/>
  <c r="G136" i="3"/>
  <c r="G137" i="3"/>
  <c r="H137" i="3" s="1" a="1"/>
  <c r="H137" i="3" s="1"/>
  <c r="G138" i="3"/>
  <c r="H138" i="3" s="1" a="1"/>
  <c r="H138" i="3" s="1"/>
  <c r="G139" i="3"/>
  <c r="H139" i="3" s="1" a="1"/>
  <c r="H139" i="3" s="1"/>
  <c r="G140" i="3"/>
  <c r="H140" i="3" s="1" a="1"/>
  <c r="H140" i="3" s="1"/>
  <c r="G141" i="3"/>
  <c r="H141" i="3" s="1" a="1"/>
  <c r="H141" i="3" s="1"/>
  <c r="G142" i="3"/>
  <c r="H142" i="3" s="1" a="1"/>
  <c r="H142" i="3" s="1"/>
  <c r="G143" i="3"/>
  <c r="G144" i="3"/>
  <c r="H144" i="3" s="1" a="1"/>
  <c r="G145" i="3"/>
  <c r="G146" i="3"/>
  <c r="G147" i="3"/>
  <c r="H147" i="3" s="1" a="1"/>
  <c r="H147" i="3" s="1"/>
  <c r="G148" i="3"/>
  <c r="H148" i="3" s="1" a="1"/>
  <c r="H148" i="3" s="1"/>
  <c r="G149" i="3"/>
  <c r="G150" i="3"/>
  <c r="H150" i="3" s="1" a="1"/>
  <c r="H150" i="3" s="1"/>
  <c r="G151" i="3"/>
  <c r="H151" i="3" s="1" a="1"/>
  <c r="H151" i="3" s="1"/>
  <c r="G152" i="3"/>
  <c r="H152" i="3" s="1" a="1"/>
  <c r="H152" i="3" s="1"/>
  <c r="G153" i="3"/>
  <c r="G154" i="3"/>
  <c r="H154" i="3" s="1" a="1"/>
  <c r="H154" i="3" s="1"/>
  <c r="G155" i="3"/>
  <c r="G156" i="3"/>
  <c r="G157" i="3"/>
  <c r="H157" i="3" s="1" a="1"/>
  <c r="G158" i="3"/>
  <c r="G159" i="3"/>
  <c r="H159" i="3" s="1" a="1"/>
  <c r="H159" i="3" s="1"/>
  <c r="G160" i="3"/>
  <c r="H160" i="3" s="1" a="1"/>
  <c r="H160" i="3" s="1"/>
  <c r="G161" i="3"/>
  <c r="H161" i="3" s="1" a="1"/>
  <c r="H161" i="3" s="1"/>
  <c r="G162" i="3"/>
  <c r="H162" i="3" s="1" a="1"/>
  <c r="H162" i="3" s="1"/>
  <c r="G163" i="3"/>
  <c r="H163" i="3" s="1" a="1"/>
  <c r="H163" i="3" s="1"/>
  <c r="G164" i="3"/>
  <c r="H164" i="3" s="1" a="1"/>
  <c r="H164" i="3" s="1"/>
  <c r="G165" i="3"/>
  <c r="G166" i="3"/>
  <c r="G167" i="3"/>
  <c r="G168" i="3"/>
  <c r="G169" i="3"/>
  <c r="H169" i="3" s="1" a="1"/>
  <c r="H169" i="3" s="1"/>
  <c r="G170" i="3"/>
  <c r="H170" i="3" s="1" a="1"/>
  <c r="H170" i="3" s="1"/>
  <c r="G171" i="3"/>
  <c r="H171" i="3" s="1" a="1"/>
  <c r="H171" i="3" s="1"/>
  <c r="G172" i="3"/>
  <c r="H172" i="3" s="1" a="1"/>
  <c r="H172" i="3" s="1"/>
  <c r="G173" i="3"/>
  <c r="H173" i="3" s="1" a="1"/>
  <c r="H173" i="3" s="1"/>
  <c r="G174" i="3"/>
  <c r="H174" i="3" s="1" a="1"/>
  <c r="H174" i="3" s="1"/>
  <c r="G175" i="3"/>
  <c r="H175" i="3" s="1" a="1"/>
  <c r="H175" i="3" s="1"/>
  <c r="G176" i="3"/>
  <c r="H176" i="3" s="1" a="1"/>
  <c r="H176" i="3" s="1"/>
  <c r="G177" i="3"/>
  <c r="H177" i="3" s="1" a="1"/>
  <c r="H177" i="3" s="1"/>
  <c r="G178" i="3"/>
  <c r="H178" i="3" s="1" a="1"/>
  <c r="H178" i="3" s="1"/>
  <c r="G179" i="3"/>
  <c r="G180" i="3"/>
  <c r="G181" i="3"/>
  <c r="G182" i="3"/>
  <c r="G183" i="3"/>
  <c r="H183" i="3" s="1" a="1"/>
  <c r="H183" i="3" s="1"/>
  <c r="G184" i="3"/>
  <c r="H184" i="3" s="1" a="1"/>
  <c r="H184" i="3" s="1"/>
  <c r="G185" i="3"/>
  <c r="H185" i="3" s="1" a="1"/>
  <c r="H185" i="3" s="1"/>
  <c r="G186" i="3"/>
  <c r="H186" i="3" s="1" a="1"/>
  <c r="H186" i="3" s="1"/>
  <c r="G187" i="3"/>
  <c r="H187" i="3" s="1" a="1"/>
  <c r="H187" i="3" s="1"/>
  <c r="G188" i="3"/>
  <c r="H188" i="3" s="1" a="1"/>
  <c r="H188" i="3" s="1"/>
  <c r="G189" i="3"/>
  <c r="G190" i="3"/>
  <c r="G191" i="3"/>
  <c r="G192" i="3"/>
  <c r="G193" i="3"/>
  <c r="G194" i="3"/>
  <c r="H194" i="3" s="1" a="1"/>
  <c r="H194" i="3" s="1"/>
  <c r="G195" i="3"/>
  <c r="H195" i="3" s="1" a="1"/>
  <c r="H195" i="3" s="1"/>
  <c r="G196" i="3"/>
  <c r="H196" i="3" s="1" a="1"/>
  <c r="H196" i="3" s="1"/>
  <c r="G197" i="3"/>
  <c r="G198" i="3"/>
  <c r="H198" i="3" s="1" a="1"/>
  <c r="H198" i="3" s="1"/>
  <c r="G199" i="3"/>
  <c r="H199" i="3" s="1" a="1"/>
  <c r="H199" i="3" s="1"/>
  <c r="G200" i="3"/>
  <c r="H200" i="3" s="1" a="1"/>
  <c r="H200" i="3" s="1"/>
  <c r="G201" i="3"/>
  <c r="G202" i="3"/>
  <c r="G203" i="3"/>
  <c r="G204" i="3"/>
  <c r="G205" i="3"/>
  <c r="G206" i="3"/>
  <c r="G207" i="3"/>
  <c r="H207" i="3" s="1" a="1"/>
  <c r="H207" i="3" s="1"/>
  <c r="G208" i="3"/>
  <c r="H208" i="3" s="1" a="1"/>
  <c r="H208" i="3" s="1"/>
  <c r="G209" i="3"/>
  <c r="H209" i="3" s="1" a="1"/>
  <c r="H209" i="3" s="1"/>
  <c r="G210" i="3"/>
  <c r="H210" i="3" s="1" a="1"/>
  <c r="H210" i="3" s="1"/>
  <c r="G211" i="3"/>
  <c r="H211" i="3" s="1" a="1"/>
  <c r="H211" i="3" s="1"/>
  <c r="G212" i="3"/>
  <c r="H212" i="3" s="1" a="1"/>
  <c r="H212" i="3" s="1"/>
  <c r="G213" i="3"/>
  <c r="H213" i="3" s="1" a="1"/>
  <c r="H213" i="3" s="1"/>
  <c r="G214" i="3"/>
  <c r="H214" i="3" s="1" a="1"/>
  <c r="H214" i="3" s="1"/>
  <c r="G215" i="3"/>
  <c r="G216" i="3"/>
  <c r="H216" i="3" s="1" a="1"/>
  <c r="G217" i="3"/>
  <c r="H217" i="3" s="1" a="1"/>
  <c r="G218" i="3"/>
  <c r="G219" i="3"/>
  <c r="G220" i="3"/>
  <c r="H220" i="3" s="1" a="1"/>
  <c r="H220" i="3" s="1"/>
  <c r="G221" i="3"/>
  <c r="H221" i="3" s="1" a="1"/>
  <c r="H221" i="3" s="1"/>
  <c r="G222" i="3"/>
  <c r="H222" i="3" s="1" a="1"/>
  <c r="H222" i="3" s="1"/>
  <c r="G223" i="3"/>
  <c r="H223" i="3" s="1" a="1"/>
  <c r="H223" i="3" s="1"/>
  <c r="G224" i="3"/>
  <c r="H224" i="3" s="1" a="1"/>
  <c r="H224" i="3" s="1"/>
  <c r="G225" i="3"/>
  <c r="G226" i="3"/>
  <c r="H226" i="3" s="1" a="1"/>
  <c r="H226" i="3" s="1"/>
  <c r="G227" i="3"/>
  <c r="G228" i="3"/>
  <c r="G229" i="3"/>
  <c r="H229" i="3" s="1" a="1"/>
  <c r="G230" i="3"/>
  <c r="G231" i="3"/>
  <c r="G232" i="3"/>
  <c r="H232" i="3" s="1" a="1"/>
  <c r="H232" i="3" s="1"/>
  <c r="G233" i="3"/>
  <c r="H233" i="3" s="1" a="1"/>
  <c r="H233" i="3" s="1"/>
  <c r="G234" i="3"/>
  <c r="H234" i="3" s="1" a="1"/>
  <c r="H234" i="3" s="1"/>
  <c r="G235" i="3"/>
  <c r="H235" i="3" s="1" a="1"/>
  <c r="H235" i="3" s="1"/>
  <c r="G236" i="3"/>
  <c r="H236" i="3" s="1" a="1"/>
  <c r="G237" i="3"/>
  <c r="G238" i="3"/>
  <c r="G239" i="3"/>
  <c r="G240" i="3"/>
  <c r="H240" i="3" s="1" a="1"/>
  <c r="G241" i="3"/>
  <c r="G242" i="3"/>
  <c r="H242" i="3" s="1" a="1"/>
  <c r="H242" i="3" s="1"/>
  <c r="G243" i="3"/>
  <c r="H243" i="3" s="1" a="1"/>
  <c r="H243" i="3" s="1"/>
  <c r="G244" i="3"/>
  <c r="H244" i="3" s="1" a="1"/>
  <c r="H244" i="3" s="1"/>
  <c r="G245" i="3"/>
  <c r="H245" i="3" s="1" a="1"/>
  <c r="H245" i="3" s="1"/>
  <c r="G246" i="3"/>
  <c r="H246" i="3" s="1" a="1"/>
  <c r="H246" i="3" s="1"/>
  <c r="G247" i="3"/>
  <c r="H247" i="3" s="1" a="1"/>
  <c r="H247" i="3" s="1"/>
  <c r="G248" i="3"/>
  <c r="H248" i="3" s="1" a="1"/>
  <c r="H248" i="3" s="1"/>
  <c r="G249" i="3"/>
  <c r="G250" i="3"/>
  <c r="G251" i="3"/>
  <c r="G252" i="3"/>
  <c r="G253" i="3"/>
  <c r="G254" i="3"/>
  <c r="G255" i="3"/>
  <c r="H255" i="3" s="1" a="1"/>
  <c r="H255" i="3" s="1"/>
  <c r="G256" i="3"/>
  <c r="H256" i="3" s="1" a="1"/>
  <c r="H256" i="3" s="1"/>
  <c r="G257" i="3"/>
  <c r="H257" i="3" s="1" a="1"/>
  <c r="H257" i="3" s="1"/>
  <c r="G258" i="3"/>
  <c r="H258" i="3" s="1" a="1"/>
  <c r="H258" i="3" s="1"/>
  <c r="G259" i="3"/>
  <c r="H259" i="3" s="1" a="1"/>
  <c r="H259" i="3" s="1"/>
  <c r="G260" i="3"/>
  <c r="H260" i="3" s="1" a="1"/>
  <c r="H260" i="3" s="1"/>
  <c r="G261" i="3"/>
  <c r="H261" i="3" s="1" a="1"/>
  <c r="H261" i="3" s="1"/>
  <c r="G262" i="3"/>
  <c r="H262" i="3" s="1" a="1"/>
  <c r="H262" i="3" s="1"/>
  <c r="G263" i="3"/>
  <c r="G264" i="3"/>
  <c r="G265" i="3"/>
  <c r="G266" i="3"/>
  <c r="G267" i="3"/>
  <c r="G268" i="3"/>
  <c r="H268" i="3" s="1" a="1"/>
  <c r="H268" i="3" s="1"/>
  <c r="G269" i="3"/>
  <c r="H269" i="3" s="1" a="1"/>
  <c r="H269" i="3" s="1"/>
  <c r="G270" i="3"/>
  <c r="H270" i="3" s="1" a="1"/>
  <c r="H270" i="3" s="1"/>
  <c r="G271" i="3"/>
  <c r="H271" i="3" s="1" a="1"/>
  <c r="H271" i="3" s="1"/>
  <c r="G272" i="3"/>
  <c r="H272" i="3" s="1" a="1"/>
  <c r="H272" i="3" s="1"/>
  <c r="G273" i="3"/>
  <c r="G274" i="3"/>
  <c r="H274" i="3" s="1" a="1"/>
  <c r="H274" i="3" s="1"/>
  <c r="G275" i="3"/>
  <c r="G276" i="3"/>
  <c r="G277" i="3"/>
  <c r="G278" i="3"/>
  <c r="G279" i="3"/>
  <c r="H279" i="3" s="1" a="1"/>
  <c r="H279" i="3" s="1"/>
  <c r="G280" i="3"/>
  <c r="H280" i="3" s="1" a="1"/>
  <c r="H280" i="3" s="1"/>
  <c r="G281" i="3"/>
  <c r="H281" i="3" s="1" a="1"/>
  <c r="H281" i="3" s="1"/>
  <c r="G282" i="3"/>
  <c r="H282" i="3" s="1" a="1"/>
  <c r="H282" i="3" s="1"/>
  <c r="G283" i="3"/>
  <c r="G284" i="3"/>
  <c r="H284" i="3" s="1" a="1"/>
  <c r="G285" i="3"/>
  <c r="G286" i="3"/>
  <c r="G287" i="3"/>
  <c r="G288" i="3"/>
  <c r="H288" i="3" s="1" a="1"/>
  <c r="G289" i="3"/>
  <c r="G290" i="3"/>
  <c r="G291" i="3"/>
  <c r="H291" i="3" s="1" a="1"/>
  <c r="H291" i="3" s="1"/>
  <c r="G292" i="3"/>
  <c r="H292" i="3" s="1" a="1"/>
  <c r="H292" i="3" s="1"/>
  <c r="G293" i="3"/>
  <c r="G294" i="3"/>
  <c r="H294" i="3" s="1" a="1"/>
  <c r="H294" i="3" s="1"/>
  <c r="G295" i="3"/>
  <c r="G296" i="3"/>
  <c r="G297" i="3"/>
  <c r="G298" i="3"/>
  <c r="G299" i="3"/>
  <c r="G300" i="3"/>
  <c r="G301" i="3"/>
  <c r="H301" i="3" s="1" a="1"/>
  <c r="H301" i="3" s="1"/>
  <c r="G302" i="3"/>
  <c r="G303" i="3"/>
  <c r="H303" i="3" s="1" a="1"/>
  <c r="H303" i="3" s="1"/>
  <c r="G304" i="3"/>
  <c r="H304" i="3" s="1" a="1"/>
  <c r="H304" i="3" s="1"/>
  <c r="G305" i="3"/>
  <c r="H305" i="3" s="1" a="1"/>
  <c r="H305" i="3" s="1"/>
  <c r="G306" i="3"/>
  <c r="H306" i="3" s="1" a="1"/>
  <c r="H306" i="3" s="1"/>
  <c r="G307" i="3"/>
  <c r="H307" i="3" s="1" a="1"/>
  <c r="H307" i="3" s="1"/>
  <c r="G308" i="3"/>
  <c r="H308" i="3" s="1" a="1"/>
  <c r="H308" i="3" s="1"/>
  <c r="G309" i="3"/>
  <c r="H309" i="3" s="1" a="1"/>
  <c r="H309" i="3" s="1"/>
  <c r="G310" i="3"/>
  <c r="G311" i="3"/>
  <c r="G312" i="3"/>
  <c r="G313" i="3"/>
  <c r="G314" i="3"/>
  <c r="H314" i="3" s="1" a="1"/>
  <c r="G315" i="3"/>
  <c r="H315" i="3" s="1" a="1"/>
  <c r="G316" i="3"/>
  <c r="H316" i="3" s="1" a="1"/>
  <c r="H316" i="3" s="1"/>
  <c r="G317" i="3"/>
  <c r="H317" i="3" s="1" a="1"/>
  <c r="H317" i="3" s="1"/>
  <c r="G318" i="3"/>
  <c r="H318" i="3" s="1" a="1"/>
  <c r="H318" i="3" s="1"/>
  <c r="G319" i="3"/>
  <c r="H319" i="3" s="1" a="1"/>
  <c r="H319" i="3" s="1"/>
  <c r="G320" i="3"/>
  <c r="H320" i="3" s="1" a="1"/>
  <c r="H320" i="3" s="1"/>
  <c r="G321" i="3"/>
  <c r="G322" i="3"/>
  <c r="H322" i="3" s="1" a="1"/>
  <c r="H322" i="3" s="1"/>
  <c r="G323" i="3"/>
  <c r="G324" i="3"/>
  <c r="G325" i="3"/>
  <c r="G326" i="3"/>
  <c r="G327" i="3"/>
  <c r="H327" i="3" s="1" a="1"/>
  <c r="H327" i="3" s="1"/>
  <c r="G328" i="3"/>
  <c r="H328" i="3" s="1" a="1"/>
  <c r="H328" i="3" s="1"/>
  <c r="G329" i="3"/>
  <c r="H329" i="3" s="1" a="1"/>
  <c r="H329" i="3" s="1"/>
  <c r="G330" i="3"/>
  <c r="G331" i="3"/>
  <c r="H331" i="3" s="1" a="1"/>
  <c r="H331" i="3" s="1"/>
  <c r="G332" i="3"/>
  <c r="H332" i="3" s="1" a="1"/>
  <c r="H332" i="3" s="1"/>
  <c r="G333" i="3"/>
  <c r="G334" i="3"/>
  <c r="G335" i="3"/>
  <c r="G336" i="3"/>
  <c r="G337" i="3"/>
  <c r="G338" i="3"/>
  <c r="G339" i="3"/>
  <c r="H339" i="3" s="1" a="1"/>
  <c r="H339" i="3" s="1"/>
  <c r="G340" i="3"/>
  <c r="H340" i="3" s="1" a="1"/>
  <c r="H340" i="3" s="1"/>
  <c r="G341" i="3"/>
  <c r="H341" i="3" s="1" a="1"/>
  <c r="H341" i="3" s="1"/>
  <c r="G342" i="3"/>
  <c r="G343" i="3"/>
  <c r="H343" i="3" s="1" a="1"/>
  <c r="H343" i="3" s="1"/>
  <c r="G344" i="3"/>
  <c r="H344" i="3" s="1" a="1"/>
  <c r="H344" i="3" s="1"/>
  <c r="G345" i="3"/>
  <c r="H345" i="3" s="1" a="1"/>
  <c r="H345" i="3" s="1"/>
  <c r="G346" i="3"/>
  <c r="H346" i="3" s="1" a="1"/>
  <c r="H346" i="3" s="1"/>
  <c r="G347" i="3"/>
  <c r="G348" i="3"/>
  <c r="G349" i="3"/>
  <c r="G350" i="3"/>
  <c r="G351" i="3"/>
  <c r="H351" i="3" s="1" a="1"/>
  <c r="H351" i="3" s="1"/>
  <c r="G352" i="3"/>
  <c r="H352" i="3" s="1" a="1"/>
  <c r="H352" i="3" s="1"/>
  <c r="G353" i="3"/>
  <c r="H353" i="3" s="1" a="1"/>
  <c r="H353" i="3" s="1"/>
  <c r="G354" i="3"/>
  <c r="H354" i="3" s="1" a="1"/>
  <c r="H354" i="3" s="1"/>
  <c r="G355" i="3"/>
  <c r="H355" i="3" s="1" a="1"/>
  <c r="H355" i="3" s="1"/>
  <c r="G356" i="3"/>
  <c r="H356" i="3" s="1" a="1"/>
  <c r="H356" i="3" s="1"/>
  <c r="G357" i="3"/>
  <c r="G358" i="3"/>
  <c r="G359" i="3"/>
  <c r="G360" i="3"/>
  <c r="H360" i="3" s="1" a="1"/>
  <c r="H360" i="3" s="1"/>
  <c r="G361" i="3"/>
  <c r="G362" i="3"/>
  <c r="H362" i="3" s="1" a="1"/>
  <c r="H362" i="3" s="1"/>
  <c r="G363" i="3"/>
  <c r="H363" i="3" s="1" a="1"/>
  <c r="H363" i="3" s="1"/>
  <c r="G364" i="3"/>
  <c r="H364" i="3" s="1" a="1"/>
  <c r="H364" i="3" s="1"/>
  <c r="G365" i="3"/>
  <c r="H365" i="3" s="1" a="1"/>
  <c r="H365" i="3" s="1"/>
  <c r="G366" i="3"/>
  <c r="H366" i="3" s="1" a="1"/>
  <c r="H366" i="3" s="1"/>
  <c r="G367" i="3"/>
  <c r="H367" i="3" s="1" a="1"/>
  <c r="H367" i="3" s="1"/>
  <c r="G368" i="3"/>
  <c r="H368" i="3" s="1" a="1"/>
  <c r="H368" i="3" s="1"/>
  <c r="G369" i="3"/>
  <c r="G370" i="3"/>
  <c r="G371" i="3"/>
  <c r="G372" i="3"/>
  <c r="G373" i="3"/>
  <c r="H373" i="3" s="1" a="1"/>
  <c r="G374" i="3"/>
  <c r="G375" i="3"/>
  <c r="H375" i="3" s="1" a="1"/>
  <c r="H375" i="3" s="1"/>
  <c r="G376" i="3"/>
  <c r="H376" i="3" s="1" a="1"/>
  <c r="H376" i="3" s="1"/>
  <c r="G377" i="3"/>
  <c r="H377" i="3" s="1" a="1"/>
  <c r="H377" i="3" s="1"/>
  <c r="G378" i="3"/>
  <c r="H378" i="3" s="1" a="1"/>
  <c r="H378" i="3" s="1"/>
  <c r="G379" i="3"/>
  <c r="H379" i="3" s="1" a="1"/>
  <c r="H379" i="3" s="1"/>
  <c r="G380" i="3"/>
  <c r="H380" i="3" s="1" a="1"/>
  <c r="H380" i="3" s="1"/>
  <c r="G381" i="3"/>
  <c r="G382" i="3"/>
  <c r="H382" i="3" s="1" a="1"/>
  <c r="H382" i="3" s="1"/>
  <c r="G383" i="3"/>
  <c r="G384" i="3"/>
  <c r="G385" i="3"/>
  <c r="H385" i="3" s="1" a="1"/>
  <c r="H385" i="3" s="1"/>
  <c r="G386" i="3"/>
  <c r="H386" i="3" s="1" a="1"/>
  <c r="G387" i="3"/>
  <c r="H387" i="3" s="1" a="1"/>
  <c r="H387" i="3" s="1"/>
  <c r="G388" i="3"/>
  <c r="H388" i="3" s="1" a="1"/>
  <c r="H388" i="3" s="1"/>
  <c r="G389" i="3"/>
  <c r="H389" i="3" s="1" a="1"/>
  <c r="H389" i="3" s="1"/>
  <c r="G390" i="3"/>
  <c r="H390" i="3" s="1" a="1"/>
  <c r="H390" i="3" s="1"/>
  <c r="G391" i="3"/>
  <c r="H391" i="3" s="1" a="1"/>
  <c r="H391" i="3" s="1"/>
  <c r="G392" i="3"/>
  <c r="H392" i="3" s="1" a="1"/>
  <c r="H392" i="3" s="1"/>
  <c r="G393" i="3"/>
  <c r="G394" i="3"/>
  <c r="G395" i="3"/>
  <c r="G396" i="3"/>
  <c r="G397" i="3"/>
  <c r="G398" i="3"/>
  <c r="H398" i="3" s="1" a="1"/>
  <c r="H398" i="3" s="1"/>
  <c r="G399" i="3"/>
  <c r="H399" i="3" s="1" a="1"/>
  <c r="H399" i="3" s="1"/>
  <c r="G400" i="3"/>
  <c r="H400" i="3" s="1" a="1"/>
  <c r="H400" i="3" s="1"/>
  <c r="G401" i="3"/>
  <c r="H401" i="3" s="1" a="1"/>
  <c r="H401" i="3" s="1"/>
  <c r="G402" i="3"/>
  <c r="H36" i="6" s="1"/>
  <c r="G403" i="3"/>
  <c r="H403" i="3" s="1" a="1"/>
  <c r="H403" i="3" s="1"/>
  <c r="G404" i="3"/>
  <c r="H404" i="3" s="1" a="1"/>
  <c r="H404" i="3" s="1"/>
  <c r="G405" i="3"/>
  <c r="H405" i="3" s="1" a="1"/>
  <c r="H405" i="3" s="1"/>
  <c r="G406" i="3"/>
  <c r="H406" i="3" s="1" a="1"/>
  <c r="H406" i="3" s="1"/>
  <c r="G407" i="3"/>
  <c r="G408" i="3"/>
  <c r="G409" i="3"/>
  <c r="G410" i="3"/>
  <c r="G411" i="3"/>
  <c r="H411" i="3" s="1" a="1"/>
  <c r="H411" i="3" s="1"/>
  <c r="G412" i="3"/>
  <c r="H412" i="3" s="1" a="1"/>
  <c r="H412" i="3" s="1"/>
  <c r="G413" i="3"/>
  <c r="H413" i="3" s="1" a="1"/>
  <c r="H413" i="3" s="1"/>
  <c r="G414" i="3"/>
  <c r="H414" i="3" s="1" a="1"/>
  <c r="H414" i="3" s="1"/>
  <c r="G415" i="3"/>
  <c r="H415" i="3" s="1" a="1"/>
  <c r="H415" i="3" s="1"/>
  <c r="G416" i="3"/>
  <c r="H416" i="3" s="1" a="1"/>
  <c r="H416" i="3" s="1"/>
  <c r="G417" i="3"/>
  <c r="G418" i="3"/>
  <c r="G419" i="3"/>
  <c r="G420" i="3"/>
  <c r="G421" i="3"/>
  <c r="G422" i="3"/>
  <c r="G423" i="3"/>
  <c r="H423" i="3" s="1" a="1"/>
  <c r="H423" i="3" s="1"/>
  <c r="G424" i="3"/>
  <c r="H424" i="3" s="1" a="1"/>
  <c r="H424" i="3" s="1"/>
  <c r="G425" i="3"/>
  <c r="H425" i="3" s="1" a="1"/>
  <c r="H425" i="3" s="1"/>
  <c r="G426" i="3"/>
  <c r="H426" i="3" s="1" a="1"/>
  <c r="H426" i="3" s="1"/>
  <c r="G427" i="3"/>
  <c r="H427" i="3" s="1" a="1"/>
  <c r="H427" i="3" s="1"/>
  <c r="G428" i="3"/>
  <c r="H428" i="3" s="1" a="1"/>
  <c r="H428" i="3" s="1"/>
  <c r="G429" i="3"/>
  <c r="G430" i="3"/>
  <c r="G431" i="3"/>
  <c r="G432" i="3"/>
  <c r="H432" i="3" s="1" a="1"/>
  <c r="G433" i="3"/>
  <c r="G434" i="3"/>
  <c r="G435" i="3"/>
  <c r="H435" i="3" s="1" a="1"/>
  <c r="H435" i="3" s="1"/>
  <c r="G436" i="3"/>
  <c r="H436" i="3" s="1" a="1"/>
  <c r="H436" i="3" s="1"/>
  <c r="G437" i="3"/>
  <c r="H437" i="3" s="1" a="1"/>
  <c r="H437" i="3" s="1"/>
  <c r="G438" i="3"/>
  <c r="H438" i="3" s="1" a="1"/>
  <c r="H438" i="3" s="1"/>
  <c r="G439" i="3"/>
  <c r="H439" i="3" s="1" a="1"/>
  <c r="H439" i="3" s="1"/>
  <c r="G440" i="3"/>
  <c r="H440" i="3" s="1" a="1"/>
  <c r="H440" i="3" s="1"/>
  <c r="G441" i="3"/>
  <c r="H441" i="3" s="1" a="1"/>
  <c r="H441" i="3" s="1"/>
  <c r="G442" i="3"/>
  <c r="H442" i="3" s="1" a="1"/>
  <c r="H442" i="3" s="1"/>
  <c r="G443" i="3"/>
  <c r="G444" i="3"/>
  <c r="H444" i="3" s="1" a="1"/>
  <c r="H444" i="3" s="1"/>
  <c r="G445" i="3"/>
  <c r="H445" i="3" s="1" a="1"/>
  <c r="G446" i="3"/>
  <c r="G447" i="3"/>
  <c r="G448" i="3"/>
  <c r="H448" i="3" s="1" a="1"/>
  <c r="H448" i="3" s="1"/>
  <c r="G449" i="3"/>
  <c r="H449" i="3" s="1" a="1"/>
  <c r="H449" i="3" s="1"/>
  <c r="G450" i="3"/>
  <c r="H450" i="3" s="1" a="1"/>
  <c r="H450" i="3" s="1"/>
  <c r="G451" i="3"/>
  <c r="H451" i="3" s="1" a="1"/>
  <c r="H451" i="3" s="1"/>
  <c r="G452" i="3"/>
  <c r="H452" i="3" s="1" a="1"/>
  <c r="H452" i="3" s="1"/>
  <c r="G453" i="3"/>
  <c r="G454" i="3"/>
  <c r="G455" i="3"/>
  <c r="G456" i="3"/>
  <c r="G457" i="3"/>
  <c r="G458" i="3"/>
  <c r="H458" i="3" s="1" a="1"/>
  <c r="H458" i="3" s="1"/>
  <c r="G459" i="3"/>
  <c r="H459" i="3" s="1" a="1"/>
  <c r="H459" i="3" s="1"/>
  <c r="G460" i="3"/>
  <c r="H460" i="3" s="1" a="1"/>
  <c r="H460" i="3" s="1"/>
  <c r="G461" i="3"/>
  <c r="H461" i="3" s="1" a="1"/>
  <c r="H461" i="3" s="1"/>
  <c r="G462" i="3"/>
  <c r="H462" i="3" s="1" a="1"/>
  <c r="H462" i="3" s="1"/>
  <c r="G463" i="3"/>
  <c r="H463" i="3" s="1" a="1"/>
  <c r="H463" i="3" s="1"/>
  <c r="G464" i="3"/>
  <c r="H464" i="3" s="1" a="1"/>
  <c r="H464" i="3" s="1"/>
  <c r="G465" i="3"/>
  <c r="G466" i="3"/>
  <c r="G467" i="3"/>
  <c r="G468" i="3"/>
  <c r="G469" i="3"/>
  <c r="H469" i="3" s="1" a="1"/>
  <c r="G470" i="3"/>
  <c r="G471" i="3"/>
  <c r="H471" i="3" s="1" a="1"/>
  <c r="H471" i="3" s="1"/>
  <c r="G472" i="3"/>
  <c r="H472" i="3" s="1" a="1"/>
  <c r="H472" i="3" s="1"/>
  <c r="G473" i="3"/>
  <c r="H473" i="3" s="1" a="1"/>
  <c r="H473" i="3" s="1"/>
  <c r="G474" i="3"/>
  <c r="H474" i="3" s="1" a="1"/>
  <c r="H474" i="3" s="1"/>
  <c r="G475" i="3"/>
  <c r="H475" i="3" s="1" a="1"/>
  <c r="H475" i="3" s="1"/>
  <c r="G476" i="3"/>
  <c r="H476" i="3" s="1" a="1"/>
  <c r="H476" i="3" s="1"/>
  <c r="G477" i="3"/>
  <c r="H477" i="3" s="1" a="1"/>
  <c r="H477" i="3" s="1"/>
  <c r="G478" i="3"/>
  <c r="H478" i="3" s="1" a="1"/>
  <c r="H478" i="3" s="1"/>
  <c r="G479" i="3"/>
  <c r="G480" i="3"/>
  <c r="G481" i="3"/>
  <c r="G482" i="3"/>
  <c r="G483" i="3"/>
  <c r="H483" i="3" s="1" a="1"/>
  <c r="H483" i="3" s="1"/>
  <c r="G484" i="3"/>
  <c r="H484" i="3" s="1" a="1"/>
  <c r="H484" i="3" s="1"/>
  <c r="G485" i="3"/>
  <c r="H485" i="3" s="1" a="1"/>
  <c r="H485" i="3" s="1"/>
  <c r="G486" i="3"/>
  <c r="H486" i="3" s="1" a="1"/>
  <c r="H486" i="3" s="1"/>
  <c r="G487" i="3"/>
  <c r="H487" i="3" s="1" a="1"/>
  <c r="H487" i="3" s="1"/>
  <c r="G488" i="3"/>
  <c r="H488" i="3" s="1" a="1"/>
  <c r="H488" i="3" s="1"/>
  <c r="G489" i="3"/>
  <c r="G490" i="3"/>
  <c r="G491" i="3"/>
  <c r="G492" i="3"/>
  <c r="G493" i="3"/>
  <c r="G494" i="3"/>
  <c r="H494" i="3" s="1" a="1"/>
  <c r="H494" i="3" s="1"/>
  <c r="G495" i="3"/>
  <c r="H495" i="3" s="1" a="1"/>
  <c r="H495" i="3" s="1"/>
  <c r="G496" i="3"/>
  <c r="H496" i="3" s="1" a="1"/>
  <c r="H496" i="3" s="1"/>
  <c r="G497" i="3"/>
  <c r="H497" i="3" s="1" a="1"/>
  <c r="H497" i="3" s="1"/>
  <c r="G498" i="3"/>
  <c r="H498" i="3" s="1" a="1"/>
  <c r="H498" i="3" s="1"/>
  <c r="G499" i="3"/>
  <c r="H499" i="3" s="1" a="1"/>
  <c r="H499" i="3" s="1"/>
  <c r="G500" i="3"/>
  <c r="H500" i="3" s="1" a="1"/>
  <c r="H500" i="3" s="1"/>
  <c r="G501" i="3"/>
  <c r="G502" i="3"/>
  <c r="G503" i="3"/>
  <c r="G504" i="3"/>
  <c r="G505" i="3"/>
  <c r="G506" i="3"/>
  <c r="H506" i="3" s="1" a="1"/>
  <c r="H506" i="3" s="1"/>
  <c r="G507" i="3"/>
  <c r="H507" i="3" s="1" a="1"/>
  <c r="H507" i="3" s="1"/>
  <c r="G508" i="3"/>
  <c r="H508" i="3" s="1" a="1"/>
  <c r="H508" i="3" s="1"/>
  <c r="G509" i="3"/>
  <c r="H509" i="3" s="1" a="1"/>
  <c r="H509" i="3" s="1"/>
  <c r="G510" i="3"/>
  <c r="H48" i="6" s="1"/>
  <c r="G511" i="3"/>
  <c r="H511" i="3" s="1" a="1"/>
  <c r="H511" i="3" s="1"/>
  <c r="G512" i="3"/>
  <c r="H512" i="3" s="1" a="1"/>
  <c r="H512" i="3" s="1"/>
  <c r="G513" i="3"/>
  <c r="H513" i="3" s="1" a="1"/>
  <c r="H513" i="3" s="1"/>
  <c r="G514" i="3"/>
  <c r="H514" i="3" s="1" a="1"/>
  <c r="H514" i="3" s="1"/>
  <c r="G515" i="3"/>
  <c r="G516" i="3"/>
  <c r="G517" i="3"/>
  <c r="G518" i="3"/>
  <c r="G519" i="3"/>
  <c r="H519" i="3" s="1" a="1"/>
  <c r="H519" i="3" s="1"/>
  <c r="G520" i="3"/>
  <c r="H520" i="3" s="1" a="1"/>
  <c r="H520" i="3" s="1"/>
  <c r="G521" i="3"/>
  <c r="H521" i="3" s="1" a="1"/>
  <c r="H521" i="3" s="1"/>
  <c r="G522" i="3"/>
  <c r="H522" i="3" s="1" a="1"/>
  <c r="H522" i="3" s="1"/>
  <c r="G523" i="3"/>
  <c r="H523" i="3" s="1" a="1"/>
  <c r="H523" i="3" s="1"/>
  <c r="G524" i="3"/>
  <c r="G525" i="3"/>
  <c r="H525" i="3" s="1" a="1"/>
  <c r="H525" i="3" s="1"/>
  <c r="G526" i="3"/>
  <c r="H526" i="3" s="1" a="1"/>
  <c r="H526" i="3" s="1"/>
  <c r="G527" i="3"/>
  <c r="G528" i="3"/>
  <c r="G529" i="3"/>
  <c r="G530" i="3"/>
  <c r="G531" i="3"/>
  <c r="G532" i="3"/>
  <c r="H532" i="3" s="1" a="1"/>
  <c r="H532" i="3" s="1"/>
  <c r="G533" i="3"/>
  <c r="H533" i="3" s="1" a="1"/>
  <c r="H533" i="3" s="1"/>
  <c r="G534" i="3"/>
  <c r="H534" i="3" s="1" a="1"/>
  <c r="H534" i="3" s="1"/>
  <c r="G535" i="3"/>
  <c r="H535" i="3" s="1" a="1"/>
  <c r="H535" i="3" s="1"/>
  <c r="G536" i="3"/>
  <c r="H536" i="3" s="1" a="1"/>
  <c r="G537" i="3"/>
  <c r="H537" i="3" s="1" a="1"/>
  <c r="H537" i="3" s="1"/>
  <c r="G538" i="3"/>
  <c r="H538" i="3" s="1" a="1"/>
  <c r="H538" i="3" s="1"/>
  <c r="G539" i="3"/>
  <c r="G540" i="3"/>
  <c r="G541" i="3"/>
  <c r="G542" i="3"/>
  <c r="G543" i="3"/>
  <c r="G544" i="3"/>
  <c r="H544" i="3" s="1" a="1"/>
  <c r="H544" i="3" s="1"/>
  <c r="G545" i="3"/>
  <c r="H545" i="3" s="1" a="1"/>
  <c r="H545" i="3" s="1"/>
  <c r="G546" i="3"/>
  <c r="H546" i="3" s="1" a="1"/>
  <c r="H546" i="3" s="1"/>
  <c r="G547" i="3"/>
  <c r="H547" i="3" s="1" a="1"/>
  <c r="H547" i="3" s="1"/>
  <c r="G548" i="3"/>
  <c r="H548" i="3" s="1" a="1"/>
  <c r="H548" i="3" s="1"/>
  <c r="G549" i="3"/>
  <c r="G550" i="3"/>
  <c r="H550" i="3" s="1" a="1"/>
  <c r="H550" i="3" s="1"/>
  <c r="G551" i="3"/>
  <c r="G552" i="3"/>
  <c r="H552" i="3" s="1" a="1"/>
  <c r="G553" i="3"/>
  <c r="G554" i="3"/>
  <c r="G555" i="3"/>
  <c r="H555" i="3" s="1" a="1"/>
  <c r="H555" i="3" s="1"/>
  <c r="G556" i="3"/>
  <c r="H556" i="3" s="1" a="1"/>
  <c r="H556" i="3" s="1"/>
  <c r="G557" i="3"/>
  <c r="H557" i="3" s="1" a="1"/>
  <c r="H557" i="3" s="1"/>
  <c r="G558" i="3"/>
  <c r="H52" i="6" s="1"/>
  <c r="G559" i="3"/>
  <c r="H559" i="3" s="1" a="1"/>
  <c r="H559" i="3" s="1"/>
  <c r="G560" i="3"/>
  <c r="H560" i="3" s="1" a="1"/>
  <c r="H560" i="3" s="1"/>
  <c r="G561" i="3"/>
  <c r="G562" i="3"/>
  <c r="G563" i="3"/>
  <c r="G564" i="3"/>
  <c r="G565" i="3"/>
  <c r="G566" i="3"/>
  <c r="G567" i="3"/>
  <c r="H567" i="3" s="1" a="1"/>
  <c r="H567" i="3" s="1"/>
  <c r="G568" i="3"/>
  <c r="H568" i="3" s="1" a="1"/>
  <c r="H568" i="3" s="1"/>
  <c r="G569" i="3"/>
  <c r="H569" i="3" s="1" a="1"/>
  <c r="H569" i="3" s="1"/>
  <c r="G570" i="3"/>
  <c r="H570" i="3" s="1" a="1"/>
  <c r="H570" i="3" s="1"/>
  <c r="G571" i="3"/>
  <c r="H571" i="3" s="1" a="1"/>
  <c r="H571" i="3" s="1"/>
  <c r="G572" i="3"/>
  <c r="H572" i="3" s="1" a="1"/>
  <c r="G573" i="3"/>
  <c r="G574" i="3"/>
  <c r="G575" i="3"/>
  <c r="G576" i="3"/>
  <c r="G577" i="3"/>
  <c r="H577" i="3" s="1" a="1"/>
  <c r="G578" i="3"/>
  <c r="G579" i="3"/>
  <c r="H579" i="3" s="1" a="1"/>
  <c r="H579" i="3" s="1"/>
  <c r="G580" i="3"/>
  <c r="H580" i="3" s="1" a="1"/>
  <c r="H580" i="3" s="1"/>
  <c r="G581" i="3"/>
  <c r="H581" i="3" s="1" a="1"/>
  <c r="H581" i="3" s="1"/>
  <c r="G582" i="3"/>
  <c r="H582" i="3" s="1" a="1"/>
  <c r="H582" i="3" s="1"/>
  <c r="G583" i="3"/>
  <c r="H583" i="3" s="1" a="1"/>
  <c r="H583" i="3" s="1"/>
  <c r="G584" i="3"/>
  <c r="H584" i="3" s="1" a="1"/>
  <c r="H584" i="3" s="1"/>
  <c r="G585" i="3"/>
  <c r="G586" i="3"/>
  <c r="G587" i="3"/>
  <c r="G588" i="3"/>
  <c r="H588" i="3" s="1" a="1"/>
  <c r="G589" i="3"/>
  <c r="G590" i="3"/>
  <c r="G591" i="3"/>
  <c r="H591" i="3" s="1" a="1"/>
  <c r="H591" i="3" s="1"/>
  <c r="G592" i="3"/>
  <c r="H592" i="3" s="1" a="1"/>
  <c r="H592" i="3" s="1"/>
  <c r="G593" i="3"/>
  <c r="H593" i="3" s="1" a="1"/>
  <c r="H593" i="3" s="1"/>
  <c r="G594" i="3"/>
  <c r="H594" i="3" s="1" a="1"/>
  <c r="H594" i="3" s="1"/>
  <c r="G595" i="3"/>
  <c r="H595" i="3" s="1" a="1"/>
  <c r="H595" i="3" s="1"/>
  <c r="G596" i="3"/>
  <c r="H596" i="3" s="1" a="1"/>
  <c r="H596" i="3" s="1"/>
  <c r="G597" i="3"/>
  <c r="G598" i="3"/>
  <c r="G599" i="3"/>
  <c r="G600" i="3"/>
  <c r="G601" i="3"/>
  <c r="G602" i="3"/>
  <c r="G603" i="3"/>
  <c r="H603" i="3" s="1" a="1"/>
  <c r="H603" i="3" s="1"/>
  <c r="G604" i="3"/>
  <c r="H604" i="3" s="1" a="1"/>
  <c r="H604" i="3" s="1"/>
  <c r="G605" i="3"/>
  <c r="H605" i="3" s="1" a="1"/>
  <c r="H605" i="3" s="1"/>
  <c r="G606" i="3"/>
  <c r="H606" i="3" s="1" a="1"/>
  <c r="H606" i="3" s="1"/>
  <c r="G607" i="3"/>
  <c r="H607" i="3" s="1" a="1"/>
  <c r="H607" i="3" s="1"/>
  <c r="G608" i="3"/>
  <c r="H608" i="3" s="1" a="1"/>
  <c r="H608" i="3" s="1"/>
  <c r="G609" i="3"/>
  <c r="G610" i="3"/>
  <c r="G611" i="3"/>
  <c r="G612" i="3"/>
  <c r="G613" i="3"/>
  <c r="H613" i="3" s="1" a="1"/>
  <c r="G614" i="3"/>
  <c r="G615" i="3"/>
  <c r="H615" i="3" s="1" a="1"/>
  <c r="H615" i="3" s="1"/>
  <c r="G616" i="3"/>
  <c r="H616" i="3" s="1" a="1"/>
  <c r="H616" i="3" s="1"/>
  <c r="G617" i="3"/>
  <c r="H617" i="3" s="1" a="1"/>
  <c r="H617" i="3" s="1"/>
  <c r="G618" i="3"/>
  <c r="H618" i="3" s="1" a="1"/>
  <c r="H618" i="3" s="1"/>
  <c r="G619" i="3"/>
  <c r="H619" i="3" s="1" a="1"/>
  <c r="H619" i="3" s="1"/>
  <c r="G620" i="3"/>
  <c r="H620" i="3" s="1" a="1"/>
  <c r="H620" i="3" s="1"/>
  <c r="G621" i="3"/>
  <c r="H621" i="3" s="1" a="1"/>
  <c r="H621" i="3" s="1"/>
  <c r="G622" i="3"/>
  <c r="H622" i="3" s="1" a="1"/>
  <c r="H622" i="3" s="1"/>
  <c r="G623" i="3"/>
  <c r="G624" i="3"/>
  <c r="G625" i="3"/>
  <c r="G626" i="3"/>
  <c r="G627" i="3"/>
  <c r="H627" i="3" s="1" a="1"/>
  <c r="H627" i="3" s="1"/>
  <c r="G628" i="3"/>
  <c r="H628" i="3" s="1" a="1"/>
  <c r="H628" i="3" s="1"/>
  <c r="G629" i="3"/>
  <c r="H629" i="3" s="1" a="1"/>
  <c r="H629" i="3" s="1"/>
  <c r="G630" i="3"/>
  <c r="H630" i="3" s="1" a="1"/>
  <c r="H630" i="3" s="1"/>
  <c r="G631" i="3"/>
  <c r="H631" i="3" s="1" a="1"/>
  <c r="H631" i="3" s="1"/>
  <c r="G632" i="3"/>
  <c r="H632" i="3" s="1" a="1"/>
  <c r="H632" i="3" s="1"/>
  <c r="G633" i="3"/>
  <c r="G634" i="3"/>
  <c r="H634" i="3" s="1" a="1"/>
  <c r="H634" i="3" s="1"/>
  <c r="G635" i="3"/>
  <c r="G636" i="3"/>
  <c r="G637" i="3"/>
  <c r="G638" i="3"/>
  <c r="G639" i="3"/>
  <c r="H639" i="3" s="1" a="1"/>
  <c r="H639" i="3" s="1"/>
  <c r="G640" i="3"/>
  <c r="H640" i="3" s="1" a="1"/>
  <c r="H640" i="3" s="1"/>
  <c r="G641" i="3"/>
  <c r="H641" i="3" s="1" a="1"/>
  <c r="H641" i="3" s="1"/>
  <c r="G642" i="3"/>
  <c r="H642" i="3" s="1" a="1"/>
  <c r="H642" i="3" s="1"/>
  <c r="G643" i="3"/>
  <c r="H643" i="3" s="1" a="1"/>
  <c r="H643" i="3" s="1"/>
  <c r="G644" i="3"/>
  <c r="H644" i="3" s="1" a="1"/>
  <c r="G645" i="3"/>
  <c r="G646" i="3"/>
  <c r="G647" i="3"/>
  <c r="G648" i="3"/>
  <c r="G649" i="3"/>
  <c r="G650" i="3"/>
  <c r="H650" i="3" s="1" a="1"/>
  <c r="H650" i="3" s="1"/>
  <c r="G651" i="3"/>
  <c r="H651" i="3" s="1" a="1"/>
  <c r="H651" i="3" s="1"/>
  <c r="G652" i="3"/>
  <c r="H652" i="3" s="1" a="1"/>
  <c r="H652" i="3" s="1"/>
  <c r="G653" i="3"/>
  <c r="H653" i="3" s="1" a="1"/>
  <c r="H653" i="3" s="1"/>
  <c r="G654" i="3"/>
  <c r="H654" i="3" s="1" a="1"/>
  <c r="H654" i="3" s="1"/>
  <c r="G655" i="3"/>
  <c r="H655" i="3" s="1" a="1"/>
  <c r="H655" i="3" s="1"/>
  <c r="G656" i="3"/>
  <c r="H656" i="3" s="1" a="1"/>
  <c r="H656" i="3" s="1"/>
  <c r="G657" i="3"/>
  <c r="G658" i="3"/>
  <c r="G659" i="3"/>
  <c r="G660" i="3"/>
  <c r="G661" i="3"/>
  <c r="G662" i="3"/>
  <c r="H662" i="3" s="1" a="1"/>
  <c r="H662" i="3" s="1"/>
  <c r="G663" i="3"/>
  <c r="H663" i="3" s="1" a="1"/>
  <c r="H663" i="3" s="1"/>
  <c r="G664" i="3"/>
  <c r="H664" i="3" s="1" a="1"/>
  <c r="H664" i="3" s="1"/>
  <c r="G665" i="3"/>
  <c r="H665" i="3" s="1" a="1"/>
  <c r="H665" i="3" s="1"/>
  <c r="G666" i="3"/>
  <c r="H62" i="6" s="1"/>
  <c r="G667" i="3"/>
  <c r="H667" i="3" s="1" a="1"/>
  <c r="H667" i="3" s="1"/>
  <c r="G668" i="3"/>
  <c r="H668" i="3" s="1" a="1"/>
  <c r="H668" i="3" s="1"/>
  <c r="G669" i="3"/>
  <c r="G670" i="3"/>
  <c r="G671" i="3"/>
  <c r="G672" i="3"/>
  <c r="G673" i="3"/>
  <c r="G674" i="3"/>
  <c r="H674" i="3" s="1" a="1"/>
  <c r="H674" i="3" s="1"/>
  <c r="G675" i="3"/>
  <c r="H675" i="3" s="1" a="1"/>
  <c r="H675" i="3" s="1"/>
  <c r="G676" i="3"/>
  <c r="H676" i="3" s="1" a="1"/>
  <c r="H676" i="3" s="1"/>
  <c r="G677" i="3"/>
  <c r="H677" i="3" s="1" a="1"/>
  <c r="H677" i="3" s="1"/>
  <c r="G678" i="3"/>
  <c r="H678" i="3" s="1" a="1"/>
  <c r="H678" i="3" s="1"/>
  <c r="G679" i="3"/>
  <c r="H679" i="3" s="1" a="1"/>
  <c r="H679" i="3" s="1"/>
  <c r="G680" i="3"/>
  <c r="H680" i="3" s="1" a="1"/>
  <c r="H680" i="3" s="1"/>
  <c r="G681" i="3"/>
  <c r="H681" i="3" s="1" a="1"/>
  <c r="H681" i="3" s="1"/>
  <c r="G682" i="3"/>
  <c r="H682" i="3" s="1" a="1"/>
  <c r="H682" i="3" s="1"/>
  <c r="G683" i="3"/>
  <c r="G684" i="3"/>
  <c r="G685" i="3"/>
  <c r="G686" i="3"/>
  <c r="G687" i="3"/>
  <c r="H687" i="3" s="1" a="1"/>
  <c r="H687" i="3" s="1"/>
  <c r="G688" i="3"/>
  <c r="H688" i="3" s="1" a="1"/>
  <c r="H688" i="3" s="1"/>
  <c r="G689" i="3"/>
  <c r="H689" i="3" s="1" a="1"/>
  <c r="H689" i="3" s="1"/>
  <c r="G690" i="3"/>
  <c r="H690" i="3" s="1" a="1"/>
  <c r="H690" i="3" s="1"/>
  <c r="G691" i="3"/>
  <c r="H691" i="3" s="1" a="1"/>
  <c r="H691" i="3" s="1"/>
  <c r="G692" i="3"/>
  <c r="H692" i="3" s="1" a="1"/>
  <c r="H692" i="3" s="1"/>
  <c r="G693" i="3"/>
  <c r="G694" i="3"/>
  <c r="G695" i="3"/>
  <c r="G696" i="3"/>
  <c r="G697" i="3"/>
  <c r="G698" i="3"/>
  <c r="G699" i="3"/>
  <c r="H699" i="3" s="1" a="1"/>
  <c r="H699" i="3" s="1"/>
  <c r="G700" i="3"/>
  <c r="H700" i="3" s="1" a="1"/>
  <c r="H700" i="3" s="1"/>
  <c r="G701" i="3"/>
  <c r="H701" i="3" s="1" a="1"/>
  <c r="H701" i="3" s="1"/>
  <c r="G702" i="3"/>
  <c r="H702" i="3" s="1" a="1"/>
  <c r="H702" i="3" s="1"/>
  <c r="G703" i="3"/>
  <c r="H703" i="3" s="1" a="1"/>
  <c r="H703" i="3" s="1"/>
  <c r="G704" i="3"/>
  <c r="H704" i="3" s="1" a="1"/>
  <c r="H704" i="3" s="1"/>
  <c r="G705" i="3"/>
  <c r="G706" i="3"/>
  <c r="G707" i="3"/>
  <c r="G708" i="3"/>
  <c r="G709" i="3"/>
  <c r="G710" i="3"/>
  <c r="G711" i="3"/>
  <c r="H711" i="3" s="1" a="1"/>
  <c r="H711" i="3" s="1"/>
  <c r="G712" i="3"/>
  <c r="H712" i="3" s="1" a="1"/>
  <c r="H712" i="3" s="1"/>
  <c r="G713" i="3"/>
  <c r="H713" i="3" s="1" a="1"/>
  <c r="H713" i="3" s="1"/>
  <c r="G714" i="3"/>
  <c r="H714" i="3" s="1" a="1"/>
  <c r="H714" i="3" s="1"/>
  <c r="G715" i="3"/>
  <c r="H715" i="3" s="1" a="1"/>
  <c r="H715" i="3" s="1"/>
  <c r="G716" i="3"/>
  <c r="H716" i="3" s="1" a="1"/>
  <c r="H716" i="3" s="1"/>
  <c r="G717" i="3"/>
  <c r="H717" i="3" s="1" a="1"/>
  <c r="H717" i="3" s="1"/>
  <c r="G718" i="3"/>
  <c r="H718" i="3" s="1" a="1"/>
  <c r="H718" i="3" s="1"/>
  <c r="G719" i="3"/>
  <c r="G720" i="3"/>
  <c r="G721" i="3"/>
  <c r="G722" i="3"/>
  <c r="G723" i="3"/>
  <c r="H723" i="3" s="1" a="1"/>
  <c r="H723" i="3" s="1"/>
  <c r="G724" i="3"/>
  <c r="H724" i="3" s="1" a="1"/>
  <c r="H724" i="3" s="1"/>
  <c r="G725" i="3"/>
  <c r="H725" i="3" s="1" a="1"/>
  <c r="H725" i="3" s="1"/>
  <c r="G726" i="3"/>
  <c r="H726" i="3" s="1" a="1"/>
  <c r="H726" i="3" s="1"/>
  <c r="G727" i="3"/>
  <c r="H727" i="3" s="1" a="1"/>
  <c r="H727" i="3" s="1"/>
  <c r="G728" i="3"/>
  <c r="H728" i="3" s="1" a="1"/>
  <c r="H728" i="3" s="1"/>
  <c r="G729" i="3"/>
  <c r="H729" i="3" s="1" a="1"/>
  <c r="H729" i="3" s="1"/>
  <c r="G730" i="3"/>
  <c r="H730" i="3" s="1" a="1"/>
  <c r="H730" i="3" s="1"/>
  <c r="G731" i="3"/>
  <c r="G732" i="3"/>
  <c r="G733" i="3"/>
  <c r="G734" i="3"/>
  <c r="G735" i="3"/>
  <c r="H735" i="3" s="1" a="1"/>
  <c r="G736" i="3"/>
  <c r="H736" i="3" s="1" a="1"/>
  <c r="H736" i="3" s="1"/>
  <c r="G737" i="3"/>
  <c r="H737" i="3" s="1" a="1"/>
  <c r="H737" i="3" s="1"/>
  <c r="G738" i="3"/>
  <c r="H738" i="3" s="1" a="1"/>
  <c r="H738" i="3" s="1"/>
  <c r="G739" i="3"/>
  <c r="H739" i="3" s="1" a="1"/>
  <c r="H739" i="3" s="1"/>
  <c r="G740" i="3"/>
  <c r="H740" i="3" s="1" a="1"/>
  <c r="H740" i="3" s="1"/>
  <c r="G741" i="3"/>
  <c r="G742" i="3"/>
  <c r="H742" i="3" s="1" a="1"/>
  <c r="H742" i="3" s="1"/>
  <c r="G743" i="3"/>
  <c r="G744" i="3"/>
  <c r="G745" i="3"/>
  <c r="G746" i="3"/>
  <c r="G747" i="3"/>
  <c r="H747" i="3" s="1" a="1"/>
  <c r="G748" i="3"/>
  <c r="H748" i="3" s="1" a="1"/>
  <c r="H748" i="3" s="1"/>
  <c r="G749" i="3"/>
  <c r="H749" i="3" s="1" a="1"/>
  <c r="H749" i="3" s="1"/>
  <c r="G750" i="3"/>
  <c r="H69" i="6" s="1"/>
  <c r="G751" i="3"/>
  <c r="H751" i="3" s="1" a="1"/>
  <c r="H751" i="3" s="1"/>
  <c r="G752" i="3"/>
  <c r="H752" i="3" s="1" a="1"/>
  <c r="H752" i="3" s="1"/>
  <c r="G753" i="3"/>
  <c r="G754" i="3"/>
  <c r="G755" i="3"/>
  <c r="G756" i="3"/>
  <c r="G757" i="3"/>
  <c r="G758" i="3"/>
  <c r="H758" i="3" s="1" a="1"/>
  <c r="H758" i="3" s="1"/>
  <c r="G759" i="3"/>
  <c r="H759" i="3" s="1" a="1"/>
  <c r="H759" i="3" s="1"/>
  <c r="G760" i="3"/>
  <c r="H760" i="3" s="1" a="1"/>
  <c r="H760" i="3" s="1"/>
  <c r="G761" i="3"/>
  <c r="H761" i="3" s="1" a="1"/>
  <c r="H761" i="3" s="1"/>
  <c r="G762" i="3"/>
  <c r="H762" i="3" s="1" a="1"/>
  <c r="H762" i="3" s="1"/>
  <c r="G763" i="3"/>
  <c r="H763" i="3" s="1" a="1"/>
  <c r="H763" i="3" s="1"/>
  <c r="G764" i="3"/>
  <c r="H764" i="3" s="1" a="1"/>
  <c r="H764" i="3" s="1"/>
  <c r="G765" i="3"/>
  <c r="G766" i="3"/>
  <c r="G767" i="3"/>
  <c r="G768" i="3"/>
  <c r="G769" i="3"/>
  <c r="G770" i="3"/>
  <c r="H770" i="3" s="1" a="1"/>
  <c r="H770" i="3" s="1"/>
  <c r="G771" i="3"/>
  <c r="H771" i="3" s="1" a="1"/>
  <c r="H771" i="3" s="1"/>
  <c r="G772" i="3"/>
  <c r="H772" i="3" s="1" a="1"/>
  <c r="H772" i="3" s="1"/>
  <c r="G773" i="3"/>
  <c r="H773" i="3" s="1" a="1"/>
  <c r="H773" i="3" s="1"/>
  <c r="G774" i="3"/>
  <c r="H774" i="3" s="1" a="1"/>
  <c r="H774" i="3" s="1"/>
  <c r="G775" i="3"/>
  <c r="H775" i="3" s="1" a="1"/>
  <c r="H775" i="3" s="1"/>
  <c r="G776" i="3"/>
  <c r="H776" i="3" s="1" a="1"/>
  <c r="H776" i="3" s="1"/>
  <c r="G777" i="3"/>
  <c r="G778" i="3"/>
  <c r="G779" i="3"/>
  <c r="G780" i="3"/>
  <c r="G781" i="3"/>
  <c r="G782" i="3"/>
  <c r="G783" i="3"/>
  <c r="H783" i="3" s="1" a="1"/>
  <c r="H783" i="3" s="1"/>
  <c r="G784" i="3"/>
  <c r="H784" i="3" s="1" a="1"/>
  <c r="H784" i="3" s="1"/>
  <c r="G785" i="3"/>
  <c r="H785" i="3" s="1" a="1"/>
  <c r="H785" i="3" s="1"/>
  <c r="G786" i="3"/>
  <c r="H786" i="3" s="1" a="1"/>
  <c r="H786" i="3" s="1"/>
  <c r="G787" i="3"/>
  <c r="H787" i="3" s="1" a="1"/>
  <c r="H787" i="3" s="1"/>
  <c r="G788" i="3"/>
  <c r="H788" i="3" s="1" a="1"/>
  <c r="H788" i="3" s="1"/>
  <c r="G789" i="3"/>
  <c r="H789" i="3" s="1" a="1"/>
  <c r="H789" i="3" s="1"/>
  <c r="G790" i="3"/>
  <c r="G791" i="3"/>
  <c r="G792" i="3"/>
  <c r="G793" i="3"/>
  <c r="G794" i="3"/>
  <c r="G795" i="3"/>
  <c r="H795" i="3" s="1" a="1"/>
  <c r="G796" i="3"/>
  <c r="H796" i="3" s="1" a="1"/>
  <c r="H796" i="3" s="1"/>
  <c r="G797" i="3"/>
  <c r="H797" i="3" s="1" a="1"/>
  <c r="H797" i="3" s="1"/>
  <c r="G798" i="3"/>
  <c r="H798" i="3" s="1" a="1"/>
  <c r="H798" i="3" s="1"/>
  <c r="G799" i="3"/>
  <c r="H799" i="3" s="1" a="1"/>
  <c r="H799" i="3" s="1"/>
  <c r="G800" i="3"/>
  <c r="H800" i="3" s="1" a="1"/>
  <c r="H800" i="3" s="1"/>
  <c r="G801" i="3"/>
  <c r="G802" i="3"/>
  <c r="H802" i="3" s="1" a="1"/>
  <c r="H802" i="3" s="1"/>
  <c r="G803" i="3"/>
  <c r="G804" i="3"/>
  <c r="G805" i="3"/>
  <c r="G806" i="3"/>
  <c r="G807" i="3"/>
  <c r="H807" i="3" s="1" a="1"/>
  <c r="H807" i="3" s="1"/>
  <c r="G808" i="3"/>
  <c r="H808" i="3" s="1" a="1"/>
  <c r="H808" i="3" s="1"/>
  <c r="G809" i="3"/>
  <c r="H809" i="3" s="1" a="1"/>
  <c r="H809" i="3" s="1"/>
  <c r="G810" i="3"/>
  <c r="H74" i="6" s="1"/>
  <c r="G811" i="3"/>
  <c r="H811" i="3" s="1" a="1"/>
  <c r="H811" i="3" s="1"/>
  <c r="G812" i="3"/>
  <c r="H812" i="3" s="1" a="1"/>
  <c r="H812" i="3" s="1"/>
  <c r="G813" i="3"/>
  <c r="G814" i="3"/>
  <c r="G815" i="3"/>
  <c r="G816" i="3"/>
  <c r="G817" i="3"/>
  <c r="G818" i="3"/>
  <c r="G819" i="3"/>
  <c r="H819" i="3" s="1" a="1"/>
  <c r="H819" i="3" s="1"/>
  <c r="G820" i="3"/>
  <c r="H820" i="3" s="1" a="1"/>
  <c r="H820" i="3" s="1"/>
  <c r="G821" i="3"/>
  <c r="H821" i="3" s="1" a="1"/>
  <c r="H821" i="3" s="1"/>
  <c r="G822" i="3"/>
  <c r="H822" i="3" s="1" a="1"/>
  <c r="H822" i="3" s="1"/>
  <c r="G823" i="3"/>
  <c r="H823" i="3" s="1" a="1"/>
  <c r="H823" i="3" s="1"/>
  <c r="G824" i="3"/>
  <c r="G825" i="3"/>
  <c r="G826" i="3"/>
  <c r="G827" i="3"/>
  <c r="G828" i="3"/>
  <c r="G829" i="3"/>
  <c r="G830" i="3"/>
  <c r="H830" i="3" s="1" a="1"/>
  <c r="H830" i="3" s="1"/>
  <c r="G831" i="3"/>
  <c r="H831" i="3" s="1" a="1"/>
  <c r="H831" i="3" s="1"/>
  <c r="G832" i="3"/>
  <c r="G833" i="3"/>
  <c r="H833" i="3" s="1" a="1"/>
  <c r="H833" i="3" s="1"/>
  <c r="G834" i="3"/>
  <c r="H834" i="3" s="1" a="1"/>
  <c r="H834" i="3" s="1"/>
  <c r="G835" i="3"/>
  <c r="H835" i="3" s="1" a="1"/>
  <c r="H835" i="3" s="1"/>
  <c r="G836" i="3"/>
  <c r="G837" i="3"/>
  <c r="G838" i="3"/>
  <c r="G839" i="3"/>
  <c r="G840" i="3"/>
  <c r="G841" i="3"/>
  <c r="G842" i="3"/>
  <c r="H842" i="3" s="1" a="1"/>
  <c r="H842" i="3" s="1"/>
  <c r="G843" i="3"/>
  <c r="H843" i="3" s="1" a="1"/>
  <c r="H843" i="3" s="1"/>
  <c r="G844" i="3"/>
  <c r="H844" i="3" s="1" a="1"/>
  <c r="H844" i="3" s="1"/>
  <c r="G845" i="3"/>
  <c r="H845" i="3" s="1" a="1"/>
  <c r="H845" i="3" s="1"/>
  <c r="G846" i="3"/>
  <c r="H846" i="3" s="1" a="1"/>
  <c r="H846" i="3" s="1"/>
  <c r="G847" i="3"/>
  <c r="H847" i="3" s="1" a="1"/>
  <c r="H847" i="3" s="1"/>
  <c r="G848" i="3"/>
  <c r="H848" i="3" s="1" a="1"/>
  <c r="H848" i="3" s="1"/>
  <c r="G849" i="3"/>
  <c r="G850" i="3"/>
  <c r="G851" i="3"/>
  <c r="G852" i="3"/>
  <c r="G853" i="3"/>
  <c r="G854" i="3"/>
  <c r="G855" i="3"/>
  <c r="H855" i="3" s="1" a="1"/>
  <c r="H855" i="3" s="1"/>
  <c r="G856" i="3"/>
  <c r="H856" i="3" s="1" a="1"/>
  <c r="H856" i="3" s="1"/>
  <c r="G857" i="3"/>
  <c r="H857" i="3" s="1" a="1"/>
  <c r="H857" i="3" s="1"/>
  <c r="G858" i="3"/>
  <c r="H858" i="3" s="1" a="1"/>
  <c r="H858" i="3" s="1"/>
  <c r="G859" i="3"/>
  <c r="H859" i="3" s="1" a="1"/>
  <c r="H859" i="3" s="1"/>
  <c r="G860" i="3"/>
  <c r="H860" i="3" s="1" a="1"/>
  <c r="H860" i="3" s="1"/>
  <c r="G861" i="3"/>
  <c r="H861" i="3" s="1" a="1"/>
  <c r="H861" i="3" s="1"/>
  <c r="G862" i="3"/>
  <c r="H862" i="3" s="1" a="1"/>
  <c r="H862" i="3" s="1"/>
  <c r="G863" i="3"/>
  <c r="G864" i="3"/>
  <c r="G865" i="3"/>
  <c r="G866" i="3"/>
  <c r="G867" i="3"/>
  <c r="H867" i="3" s="1" a="1"/>
  <c r="H867" i="3" s="1"/>
  <c r="G868" i="3"/>
  <c r="H868" i="3" s="1" a="1"/>
  <c r="H868" i="3" s="1"/>
  <c r="G869" i="3"/>
  <c r="H869" i="3" s="1" a="1"/>
  <c r="H869" i="3" s="1"/>
  <c r="G870" i="3"/>
  <c r="H870" i="3" s="1" a="1"/>
  <c r="H870" i="3" s="1"/>
  <c r="G871" i="3"/>
  <c r="G872" i="3"/>
  <c r="G873" i="3"/>
  <c r="G874" i="3"/>
  <c r="H874" i="3" s="1" a="1"/>
  <c r="H874" i="3" s="1"/>
  <c r="G875" i="3"/>
  <c r="G876" i="3"/>
  <c r="G877" i="3"/>
  <c r="G878" i="3"/>
  <c r="G879" i="3"/>
  <c r="H879" i="3" s="1" a="1"/>
  <c r="H879" i="3" s="1"/>
  <c r="G880" i="3"/>
  <c r="H880" i="3" s="1" a="1"/>
  <c r="H880" i="3" s="1"/>
  <c r="G881" i="3"/>
  <c r="H881" i="3" s="1" a="1"/>
  <c r="G882" i="3"/>
  <c r="H81" i="6" s="1"/>
  <c r="G883" i="3"/>
  <c r="H883" i="3" s="1" a="1"/>
  <c r="H883" i="3" s="1"/>
  <c r="G884" i="3"/>
  <c r="H884" i="3" s="1" a="1"/>
  <c r="H884" i="3" s="1"/>
  <c r="G885" i="3"/>
  <c r="G886" i="3"/>
  <c r="G887" i="3"/>
  <c r="G888" i="3"/>
  <c r="G889" i="3"/>
  <c r="G890" i="3"/>
  <c r="H890" i="3" s="1" a="1"/>
  <c r="H890" i="3" s="1"/>
  <c r="G891" i="3"/>
  <c r="H891" i="3" s="1" a="1"/>
  <c r="H891" i="3" s="1"/>
  <c r="G892" i="3"/>
  <c r="H892" i="3" s="1" a="1"/>
  <c r="H892" i="3" s="1"/>
  <c r="G893" i="3"/>
  <c r="H893" i="3" s="1" a="1"/>
  <c r="H893" i="3" s="1"/>
  <c r="G894" i="3"/>
  <c r="H894" i="3" s="1" a="1"/>
  <c r="H894" i="3" s="1"/>
  <c r="G895" i="3"/>
  <c r="H895" i="3" s="1" a="1"/>
  <c r="H895" i="3" s="1"/>
  <c r="G896" i="3"/>
  <c r="H896" i="3" s="1" a="1"/>
  <c r="H896" i="3" s="1"/>
  <c r="G897" i="3"/>
  <c r="H897" i="3" s="1" a="1"/>
  <c r="H897" i="3" s="1"/>
  <c r="G898" i="3"/>
  <c r="H898" i="3" s="1" a="1"/>
  <c r="H898" i="3" s="1"/>
  <c r="G899" i="3"/>
  <c r="G900" i="3"/>
  <c r="G901" i="3"/>
  <c r="G902" i="3"/>
  <c r="G903" i="3"/>
  <c r="H903" i="3" s="1" a="1"/>
  <c r="H903" i="3" s="1"/>
  <c r="G904" i="3"/>
  <c r="H904" i="3" s="1" a="1"/>
  <c r="H904" i="3" s="1"/>
  <c r="G905" i="3"/>
  <c r="H905" i="3" s="1" a="1"/>
  <c r="H905" i="3" s="1"/>
  <c r="G906" i="3"/>
  <c r="H906" i="3" s="1" a="1"/>
  <c r="H906" i="3" s="1"/>
  <c r="G907" i="3"/>
  <c r="H907" i="3" s="1" a="1"/>
  <c r="H907" i="3" s="1"/>
  <c r="G908" i="3"/>
  <c r="G909" i="3"/>
  <c r="G910" i="3"/>
  <c r="G911" i="3"/>
  <c r="G912" i="3"/>
  <c r="G913" i="3"/>
  <c r="G914" i="3"/>
  <c r="G915" i="3"/>
  <c r="G916" i="3"/>
  <c r="G917" i="3"/>
  <c r="G918" i="3"/>
  <c r="H918" i="3" s="1" a="1"/>
  <c r="H918" i="3" s="1"/>
  <c r="G919" i="3"/>
  <c r="H919" i="3" s="1" a="1"/>
  <c r="H919" i="3" s="1"/>
  <c r="G920" i="3"/>
  <c r="H920" i="3" s="1" a="1"/>
  <c r="H920" i="3" s="1"/>
  <c r="G921" i="3"/>
  <c r="G922" i="3"/>
  <c r="H922" i="3" s="1" a="1"/>
  <c r="H922" i="3" s="1"/>
  <c r="G923" i="3"/>
  <c r="G924" i="3"/>
  <c r="G925" i="3"/>
  <c r="G926" i="3"/>
  <c r="G927" i="3"/>
  <c r="H927" i="3" s="1" a="1"/>
  <c r="G928" i="3"/>
  <c r="G929" i="3"/>
  <c r="H929" i="3" s="1" a="1"/>
  <c r="H929" i="3" s="1"/>
  <c r="G930" i="3"/>
  <c r="H930" i="3" s="1" a="1"/>
  <c r="H930" i="3" s="1"/>
  <c r="G931" i="3"/>
  <c r="H931" i="3" s="1" a="1"/>
  <c r="H931" i="3" s="1"/>
  <c r="G932" i="3"/>
  <c r="H932" i="3" s="1" a="1"/>
  <c r="H932" i="3" s="1"/>
  <c r="G933" i="3"/>
  <c r="G934" i="3"/>
  <c r="G935" i="3"/>
  <c r="G936" i="3"/>
  <c r="G937" i="3"/>
  <c r="G938" i="3"/>
  <c r="G939" i="3"/>
  <c r="H939" i="3" s="1" a="1"/>
  <c r="H939" i="3" s="1"/>
  <c r="G940" i="3"/>
  <c r="H940" i="3" s="1" a="1"/>
  <c r="H940" i="3" s="1"/>
  <c r="G941" i="3"/>
  <c r="H941" i="3" s="1" a="1"/>
  <c r="H941" i="3" s="1"/>
  <c r="G942" i="3"/>
  <c r="H942" i="3" s="1" a="1"/>
  <c r="H942" i="3" s="1"/>
  <c r="G943" i="3"/>
  <c r="H943" i="3" s="1" a="1"/>
  <c r="H943" i="3" s="1"/>
  <c r="G944" i="3"/>
  <c r="G945" i="3"/>
  <c r="G946" i="3"/>
  <c r="G947" i="3"/>
  <c r="G948" i="3"/>
  <c r="G949" i="3"/>
  <c r="G950" i="3"/>
  <c r="G951" i="3"/>
  <c r="H951" i="3" s="1" a="1"/>
  <c r="H951" i="3" s="1"/>
  <c r="G952" i="3"/>
  <c r="H952" i="3" s="1" a="1"/>
  <c r="H952" i="3" s="1"/>
  <c r="G953" i="3"/>
  <c r="H953" i="3" s="1" a="1"/>
  <c r="H953" i="3" s="1"/>
  <c r="G954" i="3"/>
  <c r="H954" i="3" s="1" a="1"/>
  <c r="H954" i="3" s="1"/>
  <c r="G955" i="3"/>
  <c r="H955" i="3" s="1" a="1"/>
  <c r="H955" i="3" s="1"/>
  <c r="G956" i="3"/>
  <c r="H956" i="3" s="1" a="1"/>
  <c r="H956" i="3" s="1"/>
  <c r="G957" i="3"/>
  <c r="H957" i="3" s="1" a="1"/>
  <c r="H957" i="3" s="1"/>
  <c r="G958" i="3"/>
  <c r="G959" i="3"/>
  <c r="G960" i="3"/>
  <c r="G961" i="3"/>
  <c r="G962" i="3"/>
  <c r="G963" i="3"/>
  <c r="H963" i="3" s="1" a="1"/>
  <c r="H963" i="3" s="1"/>
  <c r="G964" i="3"/>
  <c r="H964" i="3" s="1" a="1"/>
  <c r="H964" i="3" s="1"/>
  <c r="G965" i="3"/>
  <c r="H965" i="3" s="1" a="1"/>
  <c r="H965" i="3" s="1"/>
  <c r="G966" i="3"/>
  <c r="H966" i="3" s="1" a="1"/>
  <c r="H966" i="3" s="1"/>
  <c r="G967" i="3"/>
  <c r="H967" i="3" s="1" a="1"/>
  <c r="H967" i="3" s="1"/>
  <c r="G968" i="3"/>
  <c r="H968" i="3" s="1" a="1"/>
  <c r="H968" i="3" s="1"/>
  <c r="G969" i="3"/>
  <c r="H969" i="3" s="1" a="1"/>
  <c r="H969" i="3" s="1"/>
  <c r="G970" i="3"/>
  <c r="H970" i="3" s="1" a="1"/>
  <c r="H970" i="3" s="1"/>
  <c r="G971" i="3"/>
  <c r="G972" i="3"/>
  <c r="G973" i="3"/>
  <c r="G974" i="3"/>
  <c r="G975" i="3"/>
  <c r="G976" i="3"/>
  <c r="H976" i="3" s="1" a="1"/>
  <c r="H976" i="3" s="1"/>
  <c r="G977" i="3"/>
  <c r="H977" i="3" s="1" a="1"/>
  <c r="H977" i="3" s="1"/>
  <c r="G978" i="3"/>
  <c r="H978" i="3" s="1" a="1"/>
  <c r="H978" i="3" s="1"/>
  <c r="G979" i="3"/>
  <c r="H979" i="3" s="1" a="1"/>
  <c r="H979" i="3" s="1"/>
  <c r="G980" i="3"/>
  <c r="H980" i="3" s="1" a="1"/>
  <c r="H980" i="3" s="1"/>
  <c r="G981" i="3"/>
  <c r="G982" i="3"/>
  <c r="G983" i="3"/>
  <c r="G984" i="3"/>
  <c r="G985" i="3"/>
  <c r="G986" i="3"/>
  <c r="G987" i="3"/>
  <c r="H987" i="3" s="1" a="1"/>
  <c r="H987" i="3" s="1"/>
  <c r="G988" i="3"/>
  <c r="H988" i="3" s="1" a="1"/>
  <c r="H988" i="3" s="1"/>
  <c r="G989" i="3"/>
  <c r="H989" i="3" s="1" a="1"/>
  <c r="H989" i="3" s="1"/>
  <c r="G990" i="3"/>
  <c r="H990" i="3" s="1" a="1"/>
  <c r="H990" i="3" s="1"/>
  <c r="G991" i="3"/>
  <c r="H991" i="3" s="1" a="1"/>
  <c r="H991" i="3" s="1"/>
  <c r="G992" i="3"/>
  <c r="H992" i="3" s="1" a="1"/>
  <c r="H992" i="3" s="1"/>
  <c r="G993" i="3"/>
  <c r="G994" i="3"/>
  <c r="G995" i="3"/>
  <c r="G996" i="3"/>
  <c r="G997" i="3"/>
  <c r="G998" i="3"/>
  <c r="G999" i="3"/>
  <c r="H999" i="3" s="1" a="1"/>
  <c r="H999" i="3" s="1"/>
  <c r="G1000" i="3"/>
  <c r="H1000" i="3" s="1" a="1"/>
  <c r="H1000" i="3" s="1"/>
  <c r="G1001" i="3"/>
  <c r="H1001" i="3" s="1" a="1"/>
  <c r="H1001" i="3" s="1"/>
  <c r="G1002" i="3"/>
  <c r="H1002" i="3" s="1" a="1"/>
  <c r="H1002" i="3" s="1"/>
  <c r="G1003" i="3"/>
  <c r="H1003" i="3" s="1" a="1"/>
  <c r="H1003" i="3" s="1"/>
  <c r="G1004" i="3"/>
  <c r="H1004" i="3" s="1" a="1"/>
  <c r="H1004" i="3" s="1"/>
  <c r="G1005" i="3"/>
  <c r="H1005" i="3" s="1" a="1"/>
  <c r="H1005" i="3" s="1"/>
  <c r="G1006" i="3"/>
  <c r="G1007" i="3"/>
  <c r="G1008" i="3"/>
  <c r="G1009" i="3"/>
  <c r="G1010" i="3"/>
  <c r="G1011" i="3"/>
  <c r="H1011" i="3" s="1" a="1"/>
  <c r="H1011" i="3" s="1"/>
  <c r="G1012" i="3"/>
  <c r="H1012" i="3" s="1" a="1"/>
  <c r="H1012" i="3" s="1"/>
  <c r="G1013" i="3"/>
  <c r="H1013" i="3" s="1" a="1"/>
  <c r="H1013" i="3" s="1"/>
  <c r="G1014" i="3"/>
  <c r="H1014" i="3" s="1" a="1"/>
  <c r="H1014" i="3" s="1"/>
  <c r="G1015" i="3"/>
  <c r="H1015" i="3" s="1" a="1"/>
  <c r="H1015" i="3" s="1"/>
  <c r="G1016" i="3"/>
  <c r="H1016" i="3" s="1" a="1"/>
  <c r="H1016" i="3" s="1"/>
  <c r="G1017" i="3"/>
  <c r="H1017" i="3" s="1" a="1"/>
  <c r="H1017" i="3" s="1"/>
  <c r="G1018" i="3"/>
  <c r="H1018" i="3" s="1" a="1"/>
  <c r="H1018" i="3" s="1"/>
  <c r="G1019" i="3"/>
  <c r="G1020" i="3"/>
  <c r="G1021" i="3"/>
  <c r="G1022" i="3"/>
  <c r="G1023" i="3"/>
  <c r="H1023" i="3" s="1" a="1"/>
  <c r="H1023" i="3" s="1"/>
  <c r="G1024" i="3"/>
  <c r="H1024" i="3" s="1" a="1"/>
  <c r="H1024" i="3" s="1"/>
  <c r="G1025" i="3"/>
  <c r="H1025" i="3" s="1" a="1"/>
  <c r="H1025" i="3" s="1"/>
  <c r="G1026" i="3"/>
  <c r="H93" i="6" s="1"/>
  <c r="G1027" i="3"/>
  <c r="H1027" i="3" s="1" a="1"/>
  <c r="H1027" i="3" s="1"/>
  <c r="G1028" i="3"/>
  <c r="H1028" i="3" s="1" a="1"/>
  <c r="H1028" i="3" s="1"/>
  <c r="G1029" i="3"/>
  <c r="G1030" i="3"/>
  <c r="G1031" i="3"/>
  <c r="G1032" i="3"/>
  <c r="G1033" i="3"/>
  <c r="G1034" i="3"/>
  <c r="G1035" i="3"/>
  <c r="H1035" i="3" s="1" a="1"/>
  <c r="H1035" i="3" s="1"/>
  <c r="G1036" i="3"/>
  <c r="G1037" i="3"/>
  <c r="H1037" i="3" s="1" a="1"/>
  <c r="H1037" i="3" s="1"/>
  <c r="G1038" i="3"/>
  <c r="H1038" i="3" s="1" a="1"/>
  <c r="H1038" i="3" s="1"/>
  <c r="G1039" i="3"/>
  <c r="G1040" i="3"/>
  <c r="G1041" i="3"/>
  <c r="G1042" i="3"/>
  <c r="G1043" i="3"/>
  <c r="G1044" i="3"/>
  <c r="G1045" i="3"/>
  <c r="G1046" i="3"/>
  <c r="H1046" i="3" s="1" a="1"/>
  <c r="H1046" i="3" s="1"/>
  <c r="G1047" i="3"/>
  <c r="H1047" i="3" s="1" a="1"/>
  <c r="H1047" i="3" s="1"/>
  <c r="G1048" i="3"/>
  <c r="G1049" i="3"/>
  <c r="H1049" i="3" s="1" a="1"/>
  <c r="H1049" i="3" s="1"/>
  <c r="G1050" i="3"/>
  <c r="H1050" i="3" s="1" a="1"/>
  <c r="H1050" i="3" s="1"/>
  <c r="G1051" i="3"/>
  <c r="H1051" i="3" s="1" a="1"/>
  <c r="H1051" i="3" s="1"/>
  <c r="G1052" i="3"/>
  <c r="H1052" i="3" s="1" a="1"/>
  <c r="H1052" i="3" s="1"/>
  <c r="G1053" i="3"/>
  <c r="G1054" i="3"/>
  <c r="G1055" i="3"/>
  <c r="G1056" i="3"/>
  <c r="G1057" i="3"/>
  <c r="G1058" i="3"/>
  <c r="H1058" i="3" s="1" a="1"/>
  <c r="H1058" i="3" s="1"/>
  <c r="G1059" i="3"/>
  <c r="H1059" i="3" s="1" a="1"/>
  <c r="H1059" i="3" s="1"/>
  <c r="G1060" i="3"/>
  <c r="H1060" i="3" s="1" a="1"/>
  <c r="H1060" i="3" s="1"/>
  <c r="G1061" i="3"/>
  <c r="H1061" i="3" s="1" a="1"/>
  <c r="H1061" i="3" s="1"/>
  <c r="G1062" i="3"/>
  <c r="H96" i="6" s="1"/>
  <c r="G1063" i="3"/>
  <c r="H1063" i="3" s="1" a="1"/>
  <c r="H1063" i="3" s="1"/>
  <c r="G1064" i="3"/>
  <c r="H1064" i="3" s="1" a="1"/>
  <c r="H1064" i="3" s="1"/>
  <c r="G1065" i="3"/>
  <c r="G1066" i="3"/>
  <c r="G1067" i="3"/>
  <c r="G1068" i="3"/>
  <c r="G1069" i="3"/>
  <c r="G1070" i="3"/>
  <c r="G1071" i="3"/>
  <c r="H1071" i="3" s="1" a="1"/>
  <c r="H1071" i="3" s="1"/>
  <c r="G1072" i="3"/>
  <c r="H1072" i="3" s="1" a="1"/>
  <c r="H1072" i="3" s="1"/>
  <c r="G1073" i="3"/>
  <c r="H1073" i="3" s="1" a="1"/>
  <c r="H1073" i="3" s="1"/>
  <c r="G1074" i="3"/>
  <c r="H1074" i="3" s="1" a="1"/>
  <c r="H1074" i="3" s="1"/>
  <c r="G1075" i="3"/>
  <c r="H1075" i="3" s="1" a="1"/>
  <c r="H1075" i="3" s="1"/>
  <c r="G1076" i="3"/>
  <c r="H1076" i="3" s="1" a="1"/>
  <c r="H1076" i="3" s="1"/>
  <c r="G1077" i="3"/>
  <c r="H1077" i="3" s="1" a="1"/>
  <c r="H1077" i="3" s="1"/>
  <c r="G1078" i="3"/>
  <c r="H1078" i="3" s="1" a="1"/>
  <c r="H1078" i="3" s="1"/>
  <c r="G1079" i="3"/>
  <c r="G1080" i="3"/>
  <c r="G1081" i="3"/>
  <c r="G1082" i="3"/>
  <c r="G1083" i="3"/>
  <c r="H1083" i="3" s="1" a="1"/>
  <c r="H1083" i="3" s="1"/>
  <c r="G1084" i="3"/>
  <c r="H1084" i="3" s="1" a="1"/>
  <c r="H1084" i="3" s="1"/>
  <c r="G1085" i="3"/>
  <c r="H1085" i="3" s="1" a="1"/>
  <c r="H1085" i="3" s="1"/>
  <c r="G1086" i="3"/>
  <c r="H1086" i="3" s="1" a="1"/>
  <c r="H1086" i="3" s="1"/>
  <c r="G1087" i="3"/>
  <c r="H1087" i="3" s="1" a="1"/>
  <c r="H1087" i="3" s="1"/>
  <c r="G1088" i="3"/>
  <c r="G1089" i="3"/>
  <c r="G1090" i="3"/>
  <c r="G1091" i="3"/>
  <c r="G1092" i="3"/>
  <c r="G1093" i="3"/>
  <c r="G1094" i="3"/>
  <c r="G1095" i="3"/>
  <c r="G1096" i="3"/>
  <c r="H1096" i="3" s="1" a="1"/>
  <c r="H1096" i="3" s="1"/>
  <c r="G1097" i="3"/>
  <c r="H1097" i="3" s="1" a="1"/>
  <c r="G1098" i="3"/>
  <c r="H1098" i="3" s="1" a="1"/>
  <c r="H1098" i="3" s="1"/>
  <c r="G1099" i="3"/>
  <c r="G1100" i="3"/>
  <c r="G1101" i="3"/>
  <c r="G1102" i="3"/>
  <c r="G1103" i="3"/>
  <c r="G1104" i="3"/>
  <c r="G1105" i="3"/>
  <c r="G1106" i="3"/>
  <c r="H1106" i="3" s="1" a="1"/>
  <c r="H1106" i="3" s="1"/>
  <c r="G1107" i="3"/>
  <c r="G1108" i="3"/>
  <c r="H1108" i="3" s="1" a="1"/>
  <c r="H1108" i="3" s="1"/>
  <c r="G1109" i="3"/>
  <c r="H1109" i="3" s="1" a="1"/>
  <c r="H1109" i="3" s="1"/>
  <c r="G1110" i="3"/>
  <c r="H1110" i="3" s="1" a="1"/>
  <c r="H1110" i="3" s="1"/>
  <c r="G1111" i="3"/>
  <c r="H1111" i="3" s="1" a="1"/>
  <c r="H1111" i="3" s="1"/>
  <c r="G1112" i="3"/>
  <c r="H1112" i="3" s="1" a="1"/>
  <c r="H1112" i="3" s="1"/>
  <c r="G1113" i="3"/>
  <c r="G1114" i="3"/>
  <c r="G1115" i="3"/>
  <c r="G1116" i="3"/>
  <c r="G1117" i="3"/>
  <c r="G1118" i="3"/>
  <c r="G1119" i="3"/>
  <c r="H1119" i="3" s="1" a="1"/>
  <c r="H1119" i="3" s="1"/>
  <c r="G1120" i="3"/>
  <c r="H1120" i="3" s="1" a="1"/>
  <c r="H1120" i="3" s="1"/>
  <c r="G1121" i="3"/>
  <c r="H1121" i="3" s="1" a="1"/>
  <c r="H1121" i="3" s="1"/>
  <c r="G1122" i="3"/>
  <c r="H1122" i="3" s="1" a="1"/>
  <c r="H1122" i="3" s="1"/>
  <c r="G1123" i="3"/>
  <c r="H1123" i="3" s="1" a="1"/>
  <c r="H1123" i="3" s="1"/>
  <c r="G1124" i="3"/>
  <c r="H1124" i="3" s="1" a="1"/>
  <c r="H1124" i="3" s="1"/>
  <c r="G1125" i="3"/>
  <c r="H1125" i="3" s="1" a="1"/>
  <c r="H1125" i="3" s="1"/>
  <c r="G1126" i="3"/>
  <c r="G1127" i="3"/>
  <c r="G1128" i="3"/>
  <c r="G1129" i="3"/>
  <c r="G1130" i="3"/>
  <c r="H2" i="3" a="1"/>
  <c r="H2" i="3"/>
  <c r="H3" i="3" a="1"/>
  <c r="H3" i="3"/>
  <c r="H4" i="3" a="1"/>
  <c r="H4" i="3" s="1"/>
  <c r="H9" i="3" a="1"/>
  <c r="H9" i="3" s="1"/>
  <c r="H10" i="3" a="1"/>
  <c r="H10" i="3" s="1"/>
  <c r="H11" i="3" a="1"/>
  <c r="H11" i="3" s="1"/>
  <c r="H13" i="3"/>
  <c r="H21" i="3" a="1"/>
  <c r="H21" i="3"/>
  <c r="H22" i="3" a="1"/>
  <c r="H22" i="3" s="1"/>
  <c r="H23" i="3" a="1"/>
  <c r="H23" i="3" s="1"/>
  <c r="H24" i="3" a="1"/>
  <c r="H24" i="3" s="1"/>
  <c r="H26" i="3"/>
  <c r="H33" i="3" a="1"/>
  <c r="H33" i="3" s="1"/>
  <c r="H35" i="3" a="1"/>
  <c r="H35" i="3" s="1"/>
  <c r="H37" i="3" a="1"/>
  <c r="H37" i="3"/>
  <c r="H46" i="3" a="1"/>
  <c r="H46" i="3"/>
  <c r="H47" i="3" a="1"/>
  <c r="H47" i="3" s="1"/>
  <c r="H48" i="3" a="1"/>
  <c r="H48" i="3" s="1"/>
  <c r="H49" i="3" a="1"/>
  <c r="H49" i="3" s="1"/>
  <c r="H50" i="3" a="1"/>
  <c r="H50" i="3" s="1"/>
  <c r="H56" i="3" a="1"/>
  <c r="H56" i="3" s="1"/>
  <c r="H59" i="3" a="1"/>
  <c r="H59" i="3" s="1"/>
  <c r="H61" i="3" a="1"/>
  <c r="H61" i="3" s="1"/>
  <c r="H62" i="3" a="1"/>
  <c r="H62" i="3" s="1"/>
  <c r="H69" i="3" a="1"/>
  <c r="H69" i="3" s="1"/>
  <c r="H70" i="3" a="1"/>
  <c r="H70" i="3" s="1"/>
  <c r="H71" i="3" a="1"/>
  <c r="H71" i="3" s="1"/>
  <c r="H72" i="3"/>
  <c r="H73" i="3" a="1"/>
  <c r="H73" i="3" s="1"/>
  <c r="H74" i="3" a="1"/>
  <c r="H74" i="3" s="1"/>
  <c r="H83" i="3" a="1"/>
  <c r="H83" i="3" s="1"/>
  <c r="H86" i="3" a="1"/>
  <c r="H86" i="3"/>
  <c r="H93" i="3" a="1"/>
  <c r="H93" i="3"/>
  <c r="H94" i="3" a="1"/>
  <c r="H94" i="3" s="1"/>
  <c r="H95" i="3" a="1"/>
  <c r="H95" i="3" s="1"/>
  <c r="H96" i="3" a="1"/>
  <c r="H96" i="3" s="1"/>
  <c r="H97" i="3" a="1"/>
  <c r="H97" i="3" s="1"/>
  <c r="H98" i="3"/>
  <c r="H107" i="3" a="1"/>
  <c r="H107" i="3" s="1"/>
  <c r="H108" i="3" a="1"/>
  <c r="H108" i="3" s="1"/>
  <c r="H109" i="3" a="1"/>
  <c r="H109" i="3"/>
  <c r="H110" i="3" a="1"/>
  <c r="H110" i="3" s="1"/>
  <c r="H114" i="3"/>
  <c r="H117" i="3" a="1"/>
  <c r="H117" i="3" s="1"/>
  <c r="H118" i="3" a="1"/>
  <c r="H118" i="3" s="1"/>
  <c r="H119" i="3" a="1"/>
  <c r="H119" i="3" s="1"/>
  <c r="H120" i="3" a="1"/>
  <c r="H120" i="3" s="1"/>
  <c r="H121" i="3" a="1"/>
  <c r="H121" i="3" s="1"/>
  <c r="H129" i="3" a="1"/>
  <c r="H129" i="3" s="1"/>
  <c r="H130" i="3" a="1"/>
  <c r="H130" i="3" s="1"/>
  <c r="H131" i="3" a="1"/>
  <c r="H131" i="3" s="1"/>
  <c r="H132" i="3" a="1"/>
  <c r="H132" i="3" s="1"/>
  <c r="H133" i="3"/>
  <c r="H134" i="3" a="1"/>
  <c r="H134" i="3" s="1"/>
  <c r="H136" i="3" a="1"/>
  <c r="H136" i="3" s="1"/>
  <c r="H143" i="3" a="1"/>
  <c r="H143" i="3" s="1"/>
  <c r="H144" i="3"/>
  <c r="H145" i="3" a="1"/>
  <c r="H145" i="3" s="1"/>
  <c r="H146" i="3" a="1"/>
  <c r="H146" i="3" s="1"/>
  <c r="H149" i="3" a="1"/>
  <c r="H149" i="3" s="1"/>
  <c r="H153" i="3" a="1"/>
  <c r="H153" i="3" s="1"/>
  <c r="H155" i="3" a="1"/>
  <c r="H155" i="3" s="1"/>
  <c r="H156" i="3" a="1"/>
  <c r="H156" i="3" s="1"/>
  <c r="H157" i="3"/>
  <c r="H158" i="3" a="1"/>
  <c r="H158" i="3"/>
  <c r="H165" i="3" a="1"/>
  <c r="H165" i="3" s="1"/>
  <c r="H166" i="3" a="1"/>
  <c r="H166" i="3" s="1"/>
  <c r="H167" i="3" a="1"/>
  <c r="H167" i="3" s="1"/>
  <c r="H168" i="3" a="1"/>
  <c r="H168" i="3" s="1"/>
  <c r="H179" i="3" a="1"/>
  <c r="H179" i="3" s="1"/>
  <c r="H180" i="3" a="1"/>
  <c r="H180" i="3"/>
  <c r="H181" i="3" a="1"/>
  <c r="H181" i="3" s="1"/>
  <c r="H182" i="3" a="1"/>
  <c r="H182" i="3" s="1"/>
  <c r="H189" i="3" a="1"/>
  <c r="H189" i="3" s="1"/>
  <c r="H190" i="3" a="1"/>
  <c r="H190" i="3" s="1"/>
  <c r="H191" i="3" a="1"/>
  <c r="H191" i="3" s="1"/>
  <c r="H192" i="3" a="1"/>
  <c r="H192" i="3" s="1"/>
  <c r="H193" i="3" a="1"/>
  <c r="H193" i="3" s="1"/>
  <c r="H197" i="3" a="1"/>
  <c r="H197" i="3" s="1"/>
  <c r="H201" i="3" a="1"/>
  <c r="H201" i="3" s="1"/>
  <c r="H202" i="3" a="1"/>
  <c r="H202" i="3" s="1"/>
  <c r="H203" i="3" a="1"/>
  <c r="H203" i="3" s="1"/>
  <c r="H204" i="3" a="1"/>
  <c r="H204" i="3" s="1"/>
  <c r="H205" i="3" a="1"/>
  <c r="H205" i="3" s="1"/>
  <c r="H206" i="3" a="1"/>
  <c r="H206" i="3" s="1"/>
  <c r="H215" i="3" a="1"/>
  <c r="H215" i="3" s="1"/>
  <c r="H216" i="3"/>
  <c r="H217" i="3"/>
  <c r="H218" i="3" a="1"/>
  <c r="H218" i="3" s="1"/>
  <c r="H219" i="3" a="1"/>
  <c r="H219" i="3" s="1"/>
  <c r="H225" i="3" a="1"/>
  <c r="H225" i="3" s="1"/>
  <c r="H227" i="3" a="1"/>
  <c r="H227" i="3" s="1"/>
  <c r="H228" i="3" a="1"/>
  <c r="H228" i="3" s="1"/>
  <c r="H229" i="3"/>
  <c r="H230" i="3" a="1"/>
  <c r="H230" i="3" s="1"/>
  <c r="H231" i="3" a="1"/>
  <c r="H231" i="3" s="1"/>
  <c r="H236" i="3"/>
  <c r="H237" i="3" a="1"/>
  <c r="H237" i="3" s="1"/>
  <c r="H238" i="3" a="1"/>
  <c r="H238" i="3" s="1"/>
  <c r="H239" i="3" a="1"/>
  <c r="H239" i="3" s="1"/>
  <c r="H240" i="3"/>
  <c r="H241" i="3" a="1"/>
  <c r="H241" i="3" s="1"/>
  <c r="H249" i="3" a="1"/>
  <c r="H249" i="3"/>
  <c r="H250" i="3" a="1"/>
  <c r="H250" i="3" s="1"/>
  <c r="H251" i="3" a="1"/>
  <c r="H251" i="3" s="1"/>
  <c r="H252" i="3" a="1"/>
  <c r="H252" i="3" s="1"/>
  <c r="H253" i="3" a="1"/>
  <c r="H253" i="3" s="1"/>
  <c r="H254" i="3" a="1"/>
  <c r="H254" i="3" s="1"/>
  <c r="H263" i="3" a="1"/>
  <c r="H263" i="3" s="1"/>
  <c r="H264" i="3" a="1"/>
  <c r="H264" i="3"/>
  <c r="H265" i="3" a="1"/>
  <c r="H265" i="3" s="1"/>
  <c r="H266" i="3" a="1"/>
  <c r="H266" i="3" s="1"/>
  <c r="H267" i="3" a="1"/>
  <c r="H267" i="3" s="1"/>
  <c r="H273" i="3" a="1"/>
  <c r="H273" i="3" s="1"/>
  <c r="H275" i="3" a="1"/>
  <c r="H275" i="3" s="1"/>
  <c r="H276" i="3" a="1"/>
  <c r="H276" i="3" s="1"/>
  <c r="H277" i="3" a="1"/>
  <c r="H277" i="3" s="1"/>
  <c r="H278" i="3" a="1"/>
  <c r="H278" i="3"/>
  <c r="H283" i="3" a="1"/>
  <c r="H283" i="3" s="1"/>
  <c r="H284" i="3"/>
  <c r="H285" i="3" a="1"/>
  <c r="H285" i="3" s="1"/>
  <c r="H286" i="3" a="1"/>
  <c r="H286" i="3" s="1"/>
  <c r="H287" i="3" a="1"/>
  <c r="H287" i="3" s="1"/>
  <c r="H288" i="3"/>
  <c r="H289" i="3" a="1"/>
  <c r="H289" i="3" s="1"/>
  <c r="H290" i="3" a="1"/>
  <c r="H290" i="3" s="1"/>
  <c r="H293" i="3" a="1"/>
  <c r="H293" i="3" s="1"/>
  <c r="H295" i="3" a="1"/>
  <c r="H295" i="3" s="1"/>
  <c r="H296" i="3" a="1"/>
  <c r="H296" i="3" s="1"/>
  <c r="H297" i="3" a="1"/>
  <c r="H297" i="3" s="1"/>
  <c r="H298" i="3" a="1"/>
  <c r="H298" i="3" s="1"/>
  <c r="H299" i="3" a="1"/>
  <c r="H299" i="3" s="1"/>
  <c r="H300" i="3" a="1"/>
  <c r="H300" i="3" s="1"/>
  <c r="H302" i="3" a="1"/>
  <c r="H302" i="3" s="1"/>
  <c r="H310" i="3" a="1"/>
  <c r="H310" i="3" s="1"/>
  <c r="H311" i="3" a="1"/>
  <c r="H311" i="3" s="1"/>
  <c r="H312" i="3" a="1"/>
  <c r="H312" i="3" s="1"/>
  <c r="H313" i="3" a="1"/>
  <c r="H313" i="3" s="1"/>
  <c r="H314" i="3"/>
  <c r="H315" i="3"/>
  <c r="H321" i="3" a="1"/>
  <c r="H321" i="3" s="1"/>
  <c r="H323" i="3" a="1"/>
  <c r="H323" i="3" s="1"/>
  <c r="H324" i="3" a="1"/>
  <c r="H324" i="3" s="1"/>
  <c r="H325" i="3" a="1"/>
  <c r="H325" i="3" s="1"/>
  <c r="H326" i="3" a="1"/>
  <c r="H326" i="3" s="1"/>
  <c r="H333" i="3" a="1"/>
  <c r="H333" i="3" s="1"/>
  <c r="H334" i="3" a="1"/>
  <c r="H334" i="3" s="1"/>
  <c r="H335" i="3" a="1"/>
  <c r="H335" i="3" s="1"/>
  <c r="H336" i="3" a="1"/>
  <c r="H336" i="3" s="1"/>
  <c r="H337" i="3" a="1"/>
  <c r="H337" i="3" s="1"/>
  <c r="H338" i="3" a="1"/>
  <c r="H338" i="3" s="1"/>
  <c r="H347" i="3" a="1"/>
  <c r="H347" i="3" s="1"/>
  <c r="H348" i="3" a="1"/>
  <c r="H348" i="3" s="1"/>
  <c r="H349" i="3" a="1"/>
  <c r="H349" i="3" s="1"/>
  <c r="H350" i="3" a="1"/>
  <c r="H350" i="3" s="1"/>
  <c r="H357" i="3" a="1"/>
  <c r="H357" i="3" s="1"/>
  <c r="H358" i="3" a="1"/>
  <c r="H358" i="3" s="1"/>
  <c r="H359" i="3" a="1"/>
  <c r="H359" i="3" s="1"/>
  <c r="H361" i="3" a="1"/>
  <c r="H361" i="3" s="1"/>
  <c r="H369" i="3" a="1"/>
  <c r="H369" i="3" s="1"/>
  <c r="H370" i="3" a="1"/>
  <c r="H370" i="3"/>
  <c r="H371" i="3" a="1"/>
  <c r="H371" i="3" s="1"/>
  <c r="H372" i="3" a="1"/>
  <c r="H372" i="3" s="1"/>
  <c r="H373" i="3"/>
  <c r="H374" i="3" a="1"/>
  <c r="H374" i="3" s="1"/>
  <c r="H381" i="3" a="1"/>
  <c r="H381" i="3" s="1"/>
  <c r="H383" i="3" a="1"/>
  <c r="H383" i="3" s="1"/>
  <c r="H384" i="3" a="1"/>
  <c r="H384" i="3" s="1"/>
  <c r="H386" i="3"/>
  <c r="H393" i="3" a="1"/>
  <c r="H393" i="3" s="1"/>
  <c r="H394" i="3" a="1"/>
  <c r="H394" i="3"/>
  <c r="H395" i="3" a="1"/>
  <c r="H395" i="3" s="1"/>
  <c r="H396" i="3" a="1"/>
  <c r="H396" i="3" s="1"/>
  <c r="H397" i="3" a="1"/>
  <c r="H397" i="3" s="1"/>
  <c r="H407" i="3" a="1"/>
  <c r="H407" i="3" s="1"/>
  <c r="H408" i="3" a="1"/>
  <c r="H408" i="3" s="1"/>
  <c r="H409" i="3" a="1"/>
  <c r="H409" i="3"/>
  <c r="H410" i="3" a="1"/>
  <c r="H410" i="3" s="1"/>
  <c r="H417" i="3" a="1"/>
  <c r="H417" i="3" s="1"/>
  <c r="H418" i="3" a="1"/>
  <c r="H418" i="3" s="1"/>
  <c r="H419" i="3" a="1"/>
  <c r="H419" i="3" s="1"/>
  <c r="H420" i="3" a="1"/>
  <c r="H420" i="3" s="1"/>
  <c r="H421" i="3" a="1"/>
  <c r="H421" i="3" s="1"/>
  <c r="H422" i="3" a="1"/>
  <c r="H422" i="3" s="1"/>
  <c r="H429" i="3" a="1"/>
  <c r="H429" i="3"/>
  <c r="H430" i="3" a="1"/>
  <c r="H430" i="3" s="1"/>
  <c r="H431" i="3" a="1"/>
  <c r="H431" i="3" s="1"/>
  <c r="H432" i="3"/>
  <c r="H433" i="3" a="1"/>
  <c r="H433" i="3" s="1"/>
  <c r="H434" i="3" a="1"/>
  <c r="H434" i="3" s="1"/>
  <c r="H443" i="3" a="1"/>
  <c r="H443" i="3" s="1"/>
  <c r="H445" i="3"/>
  <c r="H446" i="3" a="1"/>
  <c r="H446" i="3" s="1"/>
  <c r="H447" i="3" a="1"/>
  <c r="H447" i="3" s="1"/>
  <c r="H453" i="3" a="1"/>
  <c r="H453" i="3" s="1"/>
  <c r="H454" i="3" a="1"/>
  <c r="H454" i="3" s="1"/>
  <c r="H455" i="3" a="1"/>
  <c r="H455" i="3" s="1"/>
  <c r="H456" i="3" a="1"/>
  <c r="H456" i="3" s="1"/>
  <c r="H457" i="3" a="1"/>
  <c r="H457" i="3" s="1"/>
  <c r="H465" i="3" a="1"/>
  <c r="H465" i="3" s="1"/>
  <c r="H466" i="3" a="1"/>
  <c r="H466" i="3" s="1"/>
  <c r="H467" i="3" a="1"/>
  <c r="H467" i="3" s="1"/>
  <c r="H468" i="3" a="1"/>
  <c r="H468" i="3" s="1"/>
  <c r="H469" i="3"/>
  <c r="H470" i="3" a="1"/>
  <c r="H470" i="3" s="1"/>
  <c r="H479" i="3" a="1"/>
  <c r="H479" i="3" s="1"/>
  <c r="H480" i="3" a="1"/>
  <c r="H480" i="3" s="1"/>
  <c r="H481" i="3" a="1"/>
  <c r="H481" i="3" s="1"/>
  <c r="H482" i="3" a="1"/>
  <c r="H482" i="3" s="1"/>
  <c r="H489" i="3" a="1"/>
  <c r="H489" i="3" s="1"/>
  <c r="H490" i="3" a="1"/>
  <c r="H490" i="3" s="1"/>
  <c r="H491" i="3" a="1"/>
  <c r="H491" i="3" s="1"/>
  <c r="H492" i="3" a="1"/>
  <c r="H492" i="3" s="1"/>
  <c r="H493" i="3" a="1"/>
  <c r="H493" i="3" s="1"/>
  <c r="H501" i="3" a="1"/>
  <c r="H501" i="3"/>
  <c r="H502" i="3" a="1"/>
  <c r="H502" i="3"/>
  <c r="H503" i="3" a="1"/>
  <c r="H503" i="3" s="1"/>
  <c r="H504" i="3" a="1"/>
  <c r="H504" i="3" s="1"/>
  <c r="H505" i="3" a="1"/>
  <c r="H505" i="3" s="1"/>
  <c r="H515" i="3" a="1"/>
  <c r="H515" i="3" s="1"/>
  <c r="H516" i="3" a="1"/>
  <c r="H516" i="3" s="1"/>
  <c r="H517" i="3" a="1"/>
  <c r="H517" i="3" s="1"/>
  <c r="H518" i="3" a="1"/>
  <c r="H518" i="3" s="1"/>
  <c r="H524" i="3" a="1"/>
  <c r="H524" i="3" s="1"/>
  <c r="H527" i="3" a="1"/>
  <c r="H527" i="3"/>
  <c r="H528" i="3" a="1"/>
  <c r="H528" i="3" s="1"/>
  <c r="H529" i="3" a="1"/>
  <c r="H529" i="3"/>
  <c r="H530" i="3" a="1"/>
  <c r="H530" i="3" s="1"/>
  <c r="H531" i="3" a="1"/>
  <c r="H531" i="3" s="1"/>
  <c r="H536" i="3"/>
  <c r="H539" i="3" a="1"/>
  <c r="H539" i="3" s="1"/>
  <c r="H540" i="3" a="1"/>
  <c r="H540" i="3" s="1"/>
  <c r="H541" i="3" a="1"/>
  <c r="H541" i="3"/>
  <c r="H542" i="3" a="1"/>
  <c r="H542" i="3" s="1"/>
  <c r="H543" i="3" a="1"/>
  <c r="H543" i="3" s="1"/>
  <c r="H549" i="3" a="1"/>
  <c r="H549" i="3" s="1"/>
  <c r="H551" i="3" a="1"/>
  <c r="H551" i="3" s="1"/>
  <c r="H552" i="3"/>
  <c r="H553" i="3" a="1"/>
  <c r="H553" i="3" s="1"/>
  <c r="H554" i="3" a="1"/>
  <c r="H554" i="3" s="1"/>
  <c r="H561" i="3" a="1"/>
  <c r="H561" i="3" s="1"/>
  <c r="H562" i="3" a="1"/>
  <c r="H562" i="3" s="1"/>
  <c r="H563" i="3" a="1"/>
  <c r="H563" i="3" s="1"/>
  <c r="H564" i="3" a="1"/>
  <c r="H564" i="3" s="1"/>
  <c r="H565" i="3" a="1"/>
  <c r="H565" i="3" s="1"/>
  <c r="H566" i="3" a="1"/>
  <c r="H566" i="3" s="1"/>
  <c r="H572" i="3"/>
  <c r="H573" i="3" a="1"/>
  <c r="H573" i="3" s="1"/>
  <c r="H574" i="3" a="1"/>
  <c r="H574" i="3"/>
  <c r="H575" i="3" a="1"/>
  <c r="H575" i="3" s="1"/>
  <c r="H576" i="3" a="1"/>
  <c r="H576" i="3" s="1"/>
  <c r="H577" i="3"/>
  <c r="H578" i="3" a="1"/>
  <c r="H578" i="3" s="1"/>
  <c r="H585" i="3" a="1"/>
  <c r="H585" i="3"/>
  <c r="H586" i="3" a="1"/>
  <c r="H586" i="3"/>
  <c r="H587" i="3" a="1"/>
  <c r="H587" i="3" s="1"/>
  <c r="H588" i="3"/>
  <c r="H589" i="3" a="1"/>
  <c r="H589" i="3" s="1"/>
  <c r="H590" i="3" a="1"/>
  <c r="H590" i="3" s="1"/>
  <c r="H597" i="3" a="1"/>
  <c r="H597" i="3" s="1"/>
  <c r="H598" i="3" a="1"/>
  <c r="H598" i="3"/>
  <c r="H599" i="3" a="1"/>
  <c r="H599" i="3" s="1"/>
  <c r="H600" i="3" a="1"/>
  <c r="H600" i="3" s="1"/>
  <c r="H601" i="3" a="1"/>
  <c r="H601" i="3" s="1"/>
  <c r="H602" i="3" a="1"/>
  <c r="H602" i="3" s="1"/>
  <c r="H609" i="3" a="1"/>
  <c r="H609" i="3"/>
  <c r="H610" i="3" a="1"/>
  <c r="H610" i="3"/>
  <c r="H611" i="3" a="1"/>
  <c r="H611" i="3" s="1"/>
  <c r="H612" i="3" a="1"/>
  <c r="H612" i="3" s="1"/>
  <c r="H613" i="3"/>
  <c r="H614" i="3" a="1"/>
  <c r="H614" i="3" s="1"/>
  <c r="H623" i="3" a="1"/>
  <c r="H623" i="3"/>
  <c r="H624" i="3" a="1"/>
  <c r="H624" i="3" s="1"/>
  <c r="H625" i="3" a="1"/>
  <c r="H625" i="3" s="1"/>
  <c r="H626" i="3" a="1"/>
  <c r="H626" i="3" s="1"/>
  <c r="H633" i="3" a="1"/>
  <c r="H633" i="3" s="1"/>
  <c r="H635" i="3" a="1"/>
  <c r="H635" i="3"/>
  <c r="H636" i="3" a="1"/>
  <c r="H636" i="3" s="1"/>
  <c r="H637" i="3" a="1"/>
  <c r="H637" i="3" s="1"/>
  <c r="H638" i="3" a="1"/>
  <c r="H638" i="3" s="1"/>
  <c r="H644" i="3"/>
  <c r="H645" i="3" a="1"/>
  <c r="H645" i="3" s="1"/>
  <c r="H646" i="3" a="1"/>
  <c r="H646" i="3" s="1"/>
  <c r="H647" i="3" a="1"/>
  <c r="H647" i="3" s="1"/>
  <c r="H648" i="3" a="1"/>
  <c r="H648" i="3" s="1"/>
  <c r="H649" i="3" a="1"/>
  <c r="H649" i="3" s="1"/>
  <c r="H657" i="3" a="1"/>
  <c r="H657" i="3"/>
  <c r="H658" i="3" a="1"/>
  <c r="H658" i="3" s="1"/>
  <c r="H659" i="3" a="1"/>
  <c r="H659" i="3" s="1"/>
  <c r="H660" i="3" a="1"/>
  <c r="H660" i="3" s="1"/>
  <c r="H661" i="3" a="1"/>
  <c r="H661" i="3" s="1"/>
  <c r="H669" i="3" a="1"/>
  <c r="H669" i="3"/>
  <c r="H670" i="3" a="1"/>
  <c r="H670" i="3"/>
  <c r="H671" i="3" a="1"/>
  <c r="H671" i="3" s="1"/>
  <c r="H672" i="3" a="1"/>
  <c r="H672" i="3" s="1"/>
  <c r="H673" i="3" a="1"/>
  <c r="H673" i="3" s="1"/>
  <c r="H683" i="3" a="1"/>
  <c r="H683" i="3"/>
  <c r="H684" i="3" a="1"/>
  <c r="H684" i="3" s="1"/>
  <c r="H685" i="3" a="1"/>
  <c r="H685" i="3" s="1"/>
  <c r="H686" i="3" a="1"/>
  <c r="H686" i="3" s="1"/>
  <c r="H693" i="3" a="1"/>
  <c r="H693" i="3" s="1"/>
  <c r="H694" i="3" a="1"/>
  <c r="H694" i="3" s="1"/>
  <c r="H695" i="3" a="1"/>
  <c r="H695" i="3" s="1"/>
  <c r="H696" i="3" a="1"/>
  <c r="H696" i="3" s="1"/>
  <c r="H697" i="3" a="1"/>
  <c r="H697" i="3" s="1"/>
  <c r="H698" i="3" a="1"/>
  <c r="H698" i="3" s="1"/>
  <c r="H705" i="3" a="1"/>
  <c r="H705" i="3"/>
  <c r="H706" i="3" a="1"/>
  <c r="H706" i="3" s="1"/>
  <c r="H707" i="3" a="1"/>
  <c r="H707" i="3" s="1"/>
  <c r="H708" i="3" a="1"/>
  <c r="H708" i="3" s="1"/>
  <c r="H709" i="3" a="1"/>
  <c r="H709" i="3" s="1"/>
  <c r="H710" i="3" a="1"/>
  <c r="H710" i="3" s="1"/>
  <c r="H719" i="3" a="1"/>
  <c r="H719" i="3"/>
  <c r="H720" i="3" a="1"/>
  <c r="H720" i="3" s="1"/>
  <c r="H721" i="3" a="1"/>
  <c r="H721" i="3" s="1"/>
  <c r="H722" i="3" a="1"/>
  <c r="H722" i="3" s="1"/>
  <c r="H731" i="3" a="1"/>
  <c r="H731" i="3"/>
  <c r="H732" i="3" a="1"/>
  <c r="H732" i="3" s="1"/>
  <c r="H733" i="3" a="1"/>
  <c r="H733" i="3" s="1"/>
  <c r="H734" i="3" a="1"/>
  <c r="H734" i="3" s="1"/>
  <c r="H735" i="3"/>
  <c r="H741" i="3" a="1"/>
  <c r="H741" i="3" s="1"/>
  <c r="H743" i="3" a="1"/>
  <c r="H743" i="3" s="1"/>
  <c r="H744" i="3" a="1"/>
  <c r="H744" i="3" s="1"/>
  <c r="H745" i="3" a="1"/>
  <c r="H745" i="3" s="1"/>
  <c r="H746" i="3" a="1"/>
  <c r="H746" i="3" s="1"/>
  <c r="H747" i="3"/>
  <c r="H753" i="3" a="1"/>
  <c r="H753" i="3" s="1"/>
  <c r="H754" i="3" a="1"/>
  <c r="H754" i="3" s="1"/>
  <c r="H755" i="3" a="1"/>
  <c r="H755" i="3" s="1"/>
  <c r="H756" i="3" a="1"/>
  <c r="H756" i="3" s="1"/>
  <c r="H757" i="3" a="1"/>
  <c r="H757" i="3" s="1"/>
  <c r="H765" i="3" a="1"/>
  <c r="H765" i="3"/>
  <c r="H766" i="3" a="1"/>
  <c r="H766" i="3"/>
  <c r="H767" i="3" a="1"/>
  <c r="H767" i="3" s="1"/>
  <c r="H768" i="3" a="1"/>
  <c r="H768" i="3" s="1"/>
  <c r="H769" i="3" a="1"/>
  <c r="H769" i="3" s="1"/>
  <c r="H777" i="3" a="1"/>
  <c r="H777" i="3"/>
  <c r="H778" i="3" a="1"/>
  <c r="H778" i="3" s="1"/>
  <c r="H779" i="3" a="1"/>
  <c r="H779" i="3" s="1"/>
  <c r="H780" i="3" a="1"/>
  <c r="H780" i="3" s="1"/>
  <c r="H781" i="3" a="1"/>
  <c r="H781" i="3" s="1"/>
  <c r="H782" i="3" a="1"/>
  <c r="H782" i="3" s="1"/>
  <c r="H790" i="3" a="1"/>
  <c r="H790" i="3" s="1"/>
  <c r="H791" i="3" a="1"/>
  <c r="H791" i="3" s="1"/>
  <c r="H792" i="3" a="1"/>
  <c r="H792" i="3" s="1"/>
  <c r="H793" i="3" a="1"/>
  <c r="H793" i="3" s="1"/>
  <c r="H794" i="3" a="1"/>
  <c r="H794" i="3" s="1"/>
  <c r="H795" i="3"/>
  <c r="H801" i="3" a="1"/>
  <c r="H801" i="3" s="1"/>
  <c r="H803" i="3" a="1"/>
  <c r="H803" i="3" s="1"/>
  <c r="H804" i="3" a="1"/>
  <c r="H804" i="3" s="1"/>
  <c r="H805" i="3" a="1"/>
  <c r="H805" i="3" s="1"/>
  <c r="H806" i="3" a="1"/>
  <c r="H806" i="3" s="1"/>
  <c r="H813" i="3" a="1"/>
  <c r="H813" i="3" s="1"/>
  <c r="H814" i="3" a="1"/>
  <c r="H814" i="3" s="1"/>
  <c r="H815" i="3" a="1"/>
  <c r="H815" i="3" s="1"/>
  <c r="H816" i="3" a="1"/>
  <c r="H816" i="3" s="1"/>
  <c r="H817" i="3" a="1"/>
  <c r="H817" i="3" s="1"/>
  <c r="H818" i="3" a="1"/>
  <c r="H818" i="3" s="1"/>
  <c r="H824" i="3" a="1"/>
  <c r="H824" i="3"/>
  <c r="H825" i="3" a="1"/>
  <c r="H825" i="3" s="1"/>
  <c r="H826" i="3" a="1"/>
  <c r="H826" i="3" s="1"/>
  <c r="H827" i="3" a="1"/>
  <c r="H827" i="3" s="1"/>
  <c r="H828" i="3" a="1"/>
  <c r="H828" i="3" s="1"/>
  <c r="H829" i="3" a="1"/>
  <c r="H829" i="3" s="1"/>
  <c r="H832" i="3" a="1"/>
  <c r="H832" i="3" s="1"/>
  <c r="H836" i="3" a="1"/>
  <c r="H836" i="3" s="1"/>
  <c r="H837" i="3" a="1"/>
  <c r="H837" i="3"/>
  <c r="H838" i="3" a="1"/>
  <c r="H838" i="3" s="1"/>
  <c r="H839" i="3" a="1"/>
  <c r="H839" i="3" s="1"/>
  <c r="H840" i="3" a="1"/>
  <c r="H840" i="3" s="1"/>
  <c r="H841" i="3" a="1"/>
  <c r="H841" i="3" s="1"/>
  <c r="H849" i="3" a="1"/>
  <c r="H849" i="3" s="1"/>
  <c r="H850" i="3" a="1"/>
  <c r="H850" i="3"/>
  <c r="H851" i="3" a="1"/>
  <c r="H851" i="3" s="1"/>
  <c r="H852" i="3" a="1"/>
  <c r="H852" i="3" s="1"/>
  <c r="H853" i="3" a="1"/>
  <c r="H853" i="3" s="1"/>
  <c r="H854" i="3" a="1"/>
  <c r="H854" i="3" s="1"/>
  <c r="H863" i="3" a="1"/>
  <c r="H863" i="3" s="1"/>
  <c r="H864" i="3" a="1"/>
  <c r="H864" i="3"/>
  <c r="H865" i="3" a="1"/>
  <c r="H865" i="3" s="1"/>
  <c r="H866" i="3" a="1"/>
  <c r="H866" i="3" s="1"/>
  <c r="H871" i="3" a="1"/>
  <c r="H871" i="3" s="1"/>
  <c r="H872" i="3" a="1"/>
  <c r="H872" i="3" s="1"/>
  <c r="H873" i="3" a="1"/>
  <c r="H873" i="3" s="1"/>
  <c r="H875" i="3" a="1"/>
  <c r="H875" i="3" s="1"/>
  <c r="H876" i="3" a="1"/>
  <c r="H876" i="3" s="1"/>
  <c r="H877" i="3" a="1"/>
  <c r="H877" i="3" s="1"/>
  <c r="H878" i="3" a="1"/>
  <c r="H878" i="3" s="1"/>
  <c r="H881" i="3"/>
  <c r="H885" i="3" a="1"/>
  <c r="H885" i="3" s="1"/>
  <c r="H886" i="3" a="1"/>
  <c r="H886" i="3" s="1"/>
  <c r="H887" i="3" a="1"/>
  <c r="H887" i="3" s="1"/>
  <c r="H888" i="3" a="1"/>
  <c r="H888" i="3" s="1"/>
  <c r="H889" i="3" a="1"/>
  <c r="H889" i="3" s="1"/>
  <c r="H899" i="3" a="1"/>
  <c r="H899" i="3"/>
  <c r="H900" i="3" a="1"/>
  <c r="H900" i="3" s="1"/>
  <c r="H901" i="3" a="1"/>
  <c r="H901" i="3" s="1"/>
  <c r="H902" i="3" a="1"/>
  <c r="H902" i="3" s="1"/>
  <c r="H908" i="3" a="1"/>
  <c r="H908" i="3" s="1"/>
  <c r="H909" i="3" a="1"/>
  <c r="H909" i="3" s="1"/>
  <c r="H910" i="3" a="1"/>
  <c r="H910" i="3" s="1"/>
  <c r="H911" i="3" a="1"/>
  <c r="H911" i="3" s="1"/>
  <c r="H912" i="3" a="1"/>
  <c r="H912" i="3" s="1"/>
  <c r="H913" i="3" a="1"/>
  <c r="H913" i="3" s="1"/>
  <c r="H914" i="3" a="1"/>
  <c r="H914" i="3"/>
  <c r="H915" i="3" a="1"/>
  <c r="H915" i="3"/>
  <c r="H916" i="3" a="1"/>
  <c r="H916" i="3" s="1"/>
  <c r="H917" i="3" a="1"/>
  <c r="H917" i="3" s="1"/>
  <c r="H921" i="3" a="1"/>
  <c r="H921" i="3" s="1"/>
  <c r="H923" i="3" a="1"/>
  <c r="H923" i="3" s="1"/>
  <c r="H924" i="3" a="1"/>
  <c r="H924" i="3" s="1"/>
  <c r="H925" i="3" a="1"/>
  <c r="H925" i="3" s="1"/>
  <c r="H926" i="3" a="1"/>
  <c r="H926" i="3"/>
  <c r="H927" i="3"/>
  <c r="H928" i="3" a="1"/>
  <c r="H928" i="3" s="1"/>
  <c r="H933" i="3" a="1"/>
  <c r="H933" i="3" s="1"/>
  <c r="H934" i="3" a="1"/>
  <c r="H934" i="3" s="1"/>
  <c r="H935" i="3" a="1"/>
  <c r="H935" i="3" s="1"/>
  <c r="H936" i="3" a="1"/>
  <c r="H936" i="3" s="1"/>
  <c r="H937" i="3" a="1"/>
  <c r="H937" i="3" s="1"/>
  <c r="H938" i="3" a="1"/>
  <c r="H938" i="3" s="1"/>
  <c r="H944" i="3" a="1"/>
  <c r="H944" i="3" s="1"/>
  <c r="H945" i="3" a="1"/>
  <c r="H945" i="3" s="1"/>
  <c r="H946" i="3" a="1"/>
  <c r="H946" i="3" s="1"/>
  <c r="H947" i="3" a="1"/>
  <c r="H947" i="3" s="1"/>
  <c r="H948" i="3" a="1"/>
  <c r="H948" i="3" s="1"/>
  <c r="H949" i="3" a="1"/>
  <c r="H949" i="3" s="1"/>
  <c r="H950" i="3" a="1"/>
  <c r="H950" i="3" s="1"/>
  <c r="H958" i="3" a="1"/>
  <c r="H958" i="3" s="1"/>
  <c r="H959" i="3" a="1"/>
  <c r="H959" i="3" s="1"/>
  <c r="H960" i="3" a="1"/>
  <c r="H960" i="3" s="1"/>
  <c r="H961" i="3" a="1"/>
  <c r="H961" i="3" s="1"/>
  <c r="H962" i="3" a="1"/>
  <c r="H962" i="3" s="1"/>
  <c r="H971" i="3" a="1"/>
  <c r="H971" i="3" s="1"/>
  <c r="H972" i="3" a="1"/>
  <c r="H972" i="3" s="1"/>
  <c r="H973" i="3" a="1"/>
  <c r="H973" i="3" s="1"/>
  <c r="H974" i="3" a="1"/>
  <c r="H974" i="3" s="1"/>
  <c r="H975" i="3" a="1"/>
  <c r="H975" i="3" s="1"/>
  <c r="H981" i="3" a="1"/>
  <c r="H981" i="3" s="1"/>
  <c r="H982" i="3" a="1"/>
  <c r="H982" i="3" s="1"/>
  <c r="H983" i="3" a="1"/>
  <c r="H983" i="3" s="1"/>
  <c r="H984" i="3" a="1"/>
  <c r="H984" i="3" s="1"/>
  <c r="H985" i="3" a="1"/>
  <c r="H985" i="3" s="1"/>
  <c r="H986" i="3" a="1"/>
  <c r="H986" i="3"/>
  <c r="H993" i="3" a="1"/>
  <c r="H993" i="3" s="1"/>
  <c r="H994" i="3" a="1"/>
  <c r="H994" i="3" s="1"/>
  <c r="H995" i="3" a="1"/>
  <c r="H995" i="3" s="1"/>
  <c r="H996" i="3" a="1"/>
  <c r="H996" i="3" s="1"/>
  <c r="H997" i="3" a="1"/>
  <c r="H997" i="3" s="1"/>
  <c r="H998" i="3" a="1"/>
  <c r="H998" i="3" s="1"/>
  <c r="H1006" i="3" a="1"/>
  <c r="H1006" i="3" s="1"/>
  <c r="H1007" i="3" a="1"/>
  <c r="H1007" i="3" s="1"/>
  <c r="H1008" i="3" a="1"/>
  <c r="H1008" i="3"/>
  <c r="H1009" i="3" a="1"/>
  <c r="H1009" i="3" s="1"/>
  <c r="H1010" i="3" a="1"/>
  <c r="H1010" i="3" s="1"/>
  <c r="H1019" i="3" a="1"/>
  <c r="H1019" i="3"/>
  <c r="H1020" i="3" a="1"/>
  <c r="H1020" i="3"/>
  <c r="H1021" i="3" a="1"/>
  <c r="H1021" i="3" s="1"/>
  <c r="H1022" i="3" a="1"/>
  <c r="H1022" i="3" s="1"/>
  <c r="H1029" i="3" a="1"/>
  <c r="H1029" i="3" s="1"/>
  <c r="H1030" i="3" a="1"/>
  <c r="H1030" i="3" s="1"/>
  <c r="H1031" i="3" a="1"/>
  <c r="H1031" i="3" s="1"/>
  <c r="H1032" i="3" a="1"/>
  <c r="H1032" i="3" s="1"/>
  <c r="H1033" i="3" a="1"/>
  <c r="H1033" i="3" s="1"/>
  <c r="H1034" i="3" a="1"/>
  <c r="H1034" i="3" s="1"/>
  <c r="H1036" i="3" a="1"/>
  <c r="H1036" i="3" s="1"/>
  <c r="H1039" i="3" a="1"/>
  <c r="H1039" i="3" s="1"/>
  <c r="H1040" i="3" a="1"/>
  <c r="H1040" i="3" s="1"/>
  <c r="H1041" i="3" a="1"/>
  <c r="H1041" i="3" s="1"/>
  <c r="H1042" i="3" a="1"/>
  <c r="H1042" i="3" s="1"/>
  <c r="H1043" i="3" a="1"/>
  <c r="H1043" i="3" s="1"/>
  <c r="H1044" i="3" a="1"/>
  <c r="H1044" i="3" s="1"/>
  <c r="H1045" i="3" a="1"/>
  <c r="H1045" i="3" s="1"/>
  <c r="H1048" i="3" a="1"/>
  <c r="H1048" i="3" s="1"/>
  <c r="H1053" i="3" a="1"/>
  <c r="H1053" i="3" s="1"/>
  <c r="H1054" i="3" a="1"/>
  <c r="H1054" i="3"/>
  <c r="H1055" i="3" a="1"/>
  <c r="H1055" i="3" s="1"/>
  <c r="H1056" i="3" a="1"/>
  <c r="H1056" i="3" s="1"/>
  <c r="H1057" i="3" a="1"/>
  <c r="H1057" i="3" s="1"/>
  <c r="H1065" i="3" a="1"/>
  <c r="H1065" i="3" s="1"/>
  <c r="H1066" i="3" a="1"/>
  <c r="H1066" i="3" s="1"/>
  <c r="H1067" i="3" a="1"/>
  <c r="H1067" i="3" s="1"/>
  <c r="H1068" i="3" a="1"/>
  <c r="H1068" i="3" s="1"/>
  <c r="H1069" i="3" a="1"/>
  <c r="H1069" i="3" s="1"/>
  <c r="H1070" i="3" a="1"/>
  <c r="H1070" i="3" s="1"/>
  <c r="H1079" i="3" a="1"/>
  <c r="H1079" i="3" s="1"/>
  <c r="H1080" i="3" a="1"/>
  <c r="H1080" i="3" s="1"/>
  <c r="H1081" i="3" a="1"/>
  <c r="H1081" i="3" s="1"/>
  <c r="H1082" i="3" a="1"/>
  <c r="H1082" i="3" s="1"/>
  <c r="H1088" i="3" a="1"/>
  <c r="H1088" i="3" s="1"/>
  <c r="H1089" i="3" a="1"/>
  <c r="H1089" i="3" s="1"/>
  <c r="H1090" i="3" a="1"/>
  <c r="H1090" i="3" s="1"/>
  <c r="H1091" i="3" a="1"/>
  <c r="H1091" i="3" s="1"/>
  <c r="H1092" i="3" a="1"/>
  <c r="H1092" i="3" s="1"/>
  <c r="H1093" i="3" a="1"/>
  <c r="H1093" i="3" s="1"/>
  <c r="H1094" i="3" a="1"/>
  <c r="H1094" i="3" s="1"/>
  <c r="H1095" i="3" a="1"/>
  <c r="H1095" i="3" s="1"/>
  <c r="H1097" i="3"/>
  <c r="H1099" i="3" a="1"/>
  <c r="H1099" i="3" s="1"/>
  <c r="H1100" i="3" a="1"/>
  <c r="H1100" i="3" s="1"/>
  <c r="H1101" i="3" a="1"/>
  <c r="H1101" i="3" s="1"/>
  <c r="H1102" i="3" a="1"/>
  <c r="H1102" i="3" s="1"/>
  <c r="H1103" i="3" a="1"/>
  <c r="H1103" i="3" s="1"/>
  <c r="H1104" i="3" a="1"/>
  <c r="H1104" i="3" s="1"/>
  <c r="H1105" i="3" a="1"/>
  <c r="H1105" i="3" s="1"/>
  <c r="H1107" i="3" a="1"/>
  <c r="H1107" i="3" s="1"/>
  <c r="H1113" i="3" a="1"/>
  <c r="H1113" i="3"/>
  <c r="H1114" i="3" a="1"/>
  <c r="H1114" i="3" s="1"/>
  <c r="H1115" i="3" a="1"/>
  <c r="H1115" i="3" s="1"/>
  <c r="H1116" i="3" a="1"/>
  <c r="H1116" i="3" s="1"/>
  <c r="H1117" i="3" a="1"/>
  <c r="H1117" i="3" s="1"/>
  <c r="H1118" i="3" a="1"/>
  <c r="H1118" i="3" s="1"/>
  <c r="H1126" i="3" a="1"/>
  <c r="H1126" i="3" s="1"/>
  <c r="H1127" i="3" a="1"/>
  <c r="H1127" i="3" s="1"/>
  <c r="H1128" i="3" a="1"/>
  <c r="H1128" i="3" s="1"/>
  <c r="H1129" i="3" a="1"/>
  <c r="H1129" i="3" s="1"/>
  <c r="H1130" i="3" a="1"/>
  <c r="H1130" i="3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3" i="10"/>
  <c r="I2" i="10"/>
  <c r="C2" i="10"/>
  <c r="M2" i="9"/>
  <c r="P2" i="9"/>
  <c r="O2" i="9"/>
  <c r="N2" i="9"/>
  <c r="F2" i="6"/>
  <c r="G2" i="6" s="1" a="1"/>
  <c r="G2" i="6" s="1"/>
  <c r="F3" i="6"/>
  <c r="G3" i="6" s="1" a="1"/>
  <c r="G3" i="6" s="1"/>
  <c r="F4" i="6"/>
  <c r="G4" i="6" s="1" a="1"/>
  <c r="G4" i="6" s="1"/>
  <c r="F5" i="6"/>
  <c r="G5" i="6" s="1" a="1"/>
  <c r="G5" i="6" s="1"/>
  <c r="F6" i="6"/>
  <c r="G6" i="6" s="1" a="1"/>
  <c r="G6" i="6" s="1"/>
  <c r="F7" i="6"/>
  <c r="G7" i="6" s="1" a="1"/>
  <c r="G7" i="6" s="1"/>
  <c r="F8" i="6"/>
  <c r="G8" i="6" s="1" a="1"/>
  <c r="G8" i="6" s="1"/>
  <c r="F9" i="6"/>
  <c r="G9" i="6" s="1" a="1"/>
  <c r="G9" i="6" s="1"/>
  <c r="F10" i="6"/>
  <c r="G10" i="6" s="1" a="1"/>
  <c r="G10" i="6" s="1"/>
  <c r="F11" i="6"/>
  <c r="G11" i="6" s="1" a="1"/>
  <c r="G11" i="6" s="1"/>
  <c r="F12" i="6"/>
  <c r="G12" i="6" s="1" a="1"/>
  <c r="G12" i="6" s="1"/>
  <c r="F13" i="6"/>
  <c r="G13" i="6" s="1" a="1"/>
  <c r="G13" i="6" s="1"/>
  <c r="F14" i="6"/>
  <c r="G14" i="6" s="1" a="1"/>
  <c r="G14" i="6" s="1"/>
  <c r="F15" i="6"/>
  <c r="G15" i="6" s="1" a="1"/>
  <c r="G15" i="6" s="1"/>
  <c r="F16" i="6"/>
  <c r="G16" i="6" s="1" a="1"/>
  <c r="G16" i="6" s="1"/>
  <c r="F17" i="6"/>
  <c r="G17" i="6" s="1" a="1"/>
  <c r="G17" i="6" s="1"/>
  <c r="F18" i="6"/>
  <c r="G18" i="6" s="1" a="1"/>
  <c r="G18" i="6" s="1"/>
  <c r="F19" i="6"/>
  <c r="G19" i="6" s="1" a="1"/>
  <c r="G19" i="6" s="1"/>
  <c r="F20" i="6"/>
  <c r="G20" i="6" s="1" a="1"/>
  <c r="G20" i="6" s="1"/>
  <c r="F21" i="6"/>
  <c r="G21" i="6" s="1" a="1"/>
  <c r="G21" i="6" s="1"/>
  <c r="F22" i="6"/>
  <c r="G22" i="6" s="1" a="1"/>
  <c r="G22" i="6" s="1"/>
  <c r="F23" i="6"/>
  <c r="G23" i="6" s="1" a="1"/>
  <c r="G23" i="6" s="1"/>
  <c r="F24" i="6"/>
  <c r="G24" i="6" s="1" a="1"/>
  <c r="G24" i="6" s="1"/>
  <c r="F25" i="6"/>
  <c r="G25" i="6" s="1" a="1"/>
  <c r="G25" i="6" s="1"/>
  <c r="F26" i="6"/>
  <c r="G26" i="6" s="1" a="1"/>
  <c r="G26" i="6" s="1"/>
  <c r="F27" i="6"/>
  <c r="G27" i="6" s="1" a="1"/>
  <c r="G27" i="6" s="1"/>
  <c r="F28" i="6"/>
  <c r="G28" i="6" s="1" a="1"/>
  <c r="G28" i="6" s="1"/>
  <c r="F29" i="6"/>
  <c r="G29" i="6" s="1" a="1"/>
  <c r="G29" i="6" s="1"/>
  <c r="F30" i="6"/>
  <c r="G30" i="6" s="1" a="1"/>
  <c r="G30" i="6" s="1"/>
  <c r="F31" i="6"/>
  <c r="G31" i="6" s="1" a="1"/>
  <c r="G31" i="6" s="1"/>
  <c r="F32" i="6"/>
  <c r="G32" i="6" s="1" a="1"/>
  <c r="G32" i="6" s="1"/>
  <c r="F33" i="6"/>
  <c r="G33" i="6" s="1" a="1"/>
  <c r="G33" i="6" s="1"/>
  <c r="F34" i="6"/>
  <c r="G34" i="6" s="1" a="1"/>
  <c r="G34" i="6" s="1"/>
  <c r="F35" i="6"/>
  <c r="G35" i="6" s="1" a="1"/>
  <c r="G35" i="6" s="1"/>
  <c r="F36" i="6"/>
  <c r="G36" i="6" s="1" a="1"/>
  <c r="G36" i="6" s="1"/>
  <c r="F37" i="6"/>
  <c r="G37" i="6" s="1" a="1"/>
  <c r="G37" i="6" s="1"/>
  <c r="F38" i="6"/>
  <c r="G38" i="6" s="1" a="1"/>
  <c r="G38" i="6" s="1"/>
  <c r="F39" i="6"/>
  <c r="G39" i="6" s="1" a="1"/>
  <c r="G39" i="6" s="1"/>
  <c r="F40" i="6"/>
  <c r="G40" i="6" s="1" a="1"/>
  <c r="G40" i="6" s="1"/>
  <c r="F41" i="6"/>
  <c r="G41" i="6" s="1" a="1"/>
  <c r="G41" i="6" s="1"/>
  <c r="F42" i="6"/>
  <c r="G42" i="6" s="1" a="1"/>
  <c r="G42" i="6" s="1"/>
  <c r="F43" i="6"/>
  <c r="G43" i="6" s="1" a="1"/>
  <c r="G43" i="6" s="1"/>
  <c r="F44" i="6"/>
  <c r="G44" i="6" s="1" a="1"/>
  <c r="G44" i="6" s="1"/>
  <c r="F45" i="6"/>
  <c r="G45" i="6" s="1" a="1"/>
  <c r="G45" i="6" s="1"/>
  <c r="F46" i="6"/>
  <c r="G46" i="6" s="1" a="1"/>
  <c r="G46" i="6" s="1"/>
  <c r="F47" i="6"/>
  <c r="G47" i="6" s="1" a="1"/>
  <c r="G47" i="6" s="1"/>
  <c r="F48" i="6"/>
  <c r="G48" i="6" s="1" a="1"/>
  <c r="G48" i="6" s="1"/>
  <c r="F49" i="6"/>
  <c r="G49" i="6" s="1" a="1"/>
  <c r="G49" i="6" s="1"/>
  <c r="F50" i="6"/>
  <c r="G50" i="6" s="1" a="1"/>
  <c r="G50" i="6" s="1"/>
  <c r="F51" i="6"/>
  <c r="G51" i="6" s="1" a="1"/>
  <c r="G51" i="6" s="1"/>
  <c r="F52" i="6"/>
  <c r="G52" i="6" s="1" a="1"/>
  <c r="G52" i="6" s="1"/>
  <c r="F53" i="6"/>
  <c r="G53" i="6" s="1" a="1"/>
  <c r="G53" i="6" s="1"/>
  <c r="F54" i="6"/>
  <c r="G54" i="6" s="1" a="1"/>
  <c r="G54" i="6" s="1"/>
  <c r="F55" i="6"/>
  <c r="G55" i="6" s="1" a="1"/>
  <c r="G55" i="6" s="1"/>
  <c r="F56" i="6"/>
  <c r="G56" i="6" s="1" a="1"/>
  <c r="G56" i="6" s="1"/>
  <c r="F57" i="6"/>
  <c r="G57" i="6" s="1" a="1"/>
  <c r="G57" i="6" s="1"/>
  <c r="F58" i="6"/>
  <c r="G58" i="6" s="1" a="1"/>
  <c r="G58" i="6" s="1"/>
  <c r="F59" i="6"/>
  <c r="G59" i="6" s="1" a="1"/>
  <c r="G59" i="6" s="1"/>
  <c r="F60" i="6"/>
  <c r="G60" i="6" s="1" a="1"/>
  <c r="G60" i="6" s="1"/>
  <c r="F61" i="6"/>
  <c r="G61" i="6" s="1" a="1"/>
  <c r="G61" i="6" s="1"/>
  <c r="F62" i="6"/>
  <c r="G62" i="6" s="1" a="1"/>
  <c r="G62" i="6" s="1"/>
  <c r="F63" i="6"/>
  <c r="G63" i="6" s="1" a="1"/>
  <c r="G63" i="6" s="1"/>
  <c r="F64" i="6"/>
  <c r="G64" i="6" s="1" a="1"/>
  <c r="G64" i="6" s="1"/>
  <c r="F65" i="6"/>
  <c r="G65" i="6" s="1" a="1"/>
  <c r="G65" i="6" s="1"/>
  <c r="F66" i="6"/>
  <c r="G66" i="6" s="1" a="1"/>
  <c r="G66" i="6" s="1"/>
  <c r="F67" i="6"/>
  <c r="G67" i="6" s="1" a="1"/>
  <c r="G67" i="6" s="1"/>
  <c r="F68" i="6"/>
  <c r="G68" i="6" s="1" a="1"/>
  <c r="G68" i="6" s="1"/>
  <c r="F69" i="6"/>
  <c r="G69" i="6" s="1" a="1"/>
  <c r="G69" i="6" s="1"/>
  <c r="F70" i="6"/>
  <c r="G70" i="6" s="1" a="1"/>
  <c r="G70" i="6" s="1"/>
  <c r="F71" i="6"/>
  <c r="G71" i="6" s="1" a="1"/>
  <c r="G71" i="6" s="1"/>
  <c r="F72" i="6"/>
  <c r="G72" i="6" s="1" a="1"/>
  <c r="G72" i="6" s="1"/>
  <c r="F73" i="6"/>
  <c r="G73" i="6" s="1" a="1"/>
  <c r="G73" i="6" s="1"/>
  <c r="F74" i="6"/>
  <c r="G74" i="6" s="1" a="1"/>
  <c r="G74" i="6" s="1"/>
  <c r="F75" i="6"/>
  <c r="G75" i="6" s="1" a="1"/>
  <c r="G75" i="6" s="1"/>
  <c r="F76" i="6"/>
  <c r="G76" i="6" s="1" a="1"/>
  <c r="G76" i="6" s="1"/>
  <c r="F77" i="6"/>
  <c r="G77" i="6" s="1" a="1"/>
  <c r="G77" i="6" s="1"/>
  <c r="F78" i="6"/>
  <c r="G78" i="6" s="1" a="1"/>
  <c r="G78" i="6" s="1"/>
  <c r="F79" i="6"/>
  <c r="G79" i="6" s="1" a="1"/>
  <c r="G79" i="6" s="1"/>
  <c r="F80" i="6"/>
  <c r="G80" i="6" s="1" a="1"/>
  <c r="G80" i="6" s="1"/>
  <c r="F81" i="6"/>
  <c r="G81" i="6" s="1" a="1"/>
  <c r="G81" i="6" s="1"/>
  <c r="F82" i="6"/>
  <c r="G82" i="6" s="1" a="1"/>
  <c r="G82" i="6" s="1"/>
  <c r="F83" i="6"/>
  <c r="G83" i="6" s="1" a="1"/>
  <c r="G83" i="6" s="1"/>
  <c r="F84" i="6"/>
  <c r="G84" i="6" s="1" a="1"/>
  <c r="G84" i="6" s="1"/>
  <c r="F85" i="6"/>
  <c r="G85" i="6" s="1" a="1"/>
  <c r="G85" i="6" s="1"/>
  <c r="F86" i="6"/>
  <c r="G86" i="6" s="1" a="1"/>
  <c r="G86" i="6" s="1"/>
  <c r="F87" i="6"/>
  <c r="G87" i="6" s="1" a="1"/>
  <c r="G87" i="6" s="1"/>
  <c r="F88" i="6"/>
  <c r="G88" i="6" s="1" a="1"/>
  <c r="G88" i="6" s="1"/>
  <c r="F89" i="6"/>
  <c r="G89" i="6" s="1" a="1"/>
  <c r="G89" i="6" s="1"/>
  <c r="F90" i="6"/>
  <c r="G90" i="6" s="1" a="1"/>
  <c r="G90" i="6" s="1"/>
  <c r="F91" i="6"/>
  <c r="G91" i="6" s="1" a="1"/>
  <c r="G91" i="6" s="1"/>
  <c r="F92" i="6"/>
  <c r="G92" i="6" s="1" a="1"/>
  <c r="G92" i="6" s="1"/>
  <c r="F93" i="6"/>
  <c r="G93" i="6" s="1" a="1"/>
  <c r="G93" i="6" s="1"/>
  <c r="F94" i="6"/>
  <c r="G94" i="6" s="1" a="1"/>
  <c r="G94" i="6" s="1"/>
  <c r="F95" i="6"/>
  <c r="G95" i="6" s="1" a="1"/>
  <c r="G95" i="6" s="1"/>
  <c r="F96" i="6"/>
  <c r="G96" i="6" s="1" a="1"/>
  <c r="G96" i="6" s="1"/>
  <c r="F97" i="6"/>
  <c r="G97" i="6" s="1" a="1"/>
  <c r="G97" i="6" s="1"/>
  <c r="F98" i="6"/>
  <c r="G98" i="6" s="1" a="1"/>
  <c r="G98" i="6" s="1"/>
  <c r="F99" i="6"/>
  <c r="G99" i="6" s="1" a="1"/>
  <c r="G99" i="6" s="1"/>
  <c r="F100" i="6"/>
  <c r="G100" i="6" s="1" a="1"/>
  <c r="G100" i="6" s="1"/>
  <c r="F101" i="6"/>
  <c r="G101" i="6" s="1" a="1"/>
  <c r="G101" i="6" s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C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2" i="6"/>
  <c r="H13" i="6"/>
  <c r="H19" i="6"/>
  <c r="H25" i="6"/>
  <c r="H37" i="6"/>
  <c r="H38" i="6"/>
  <c r="H45" i="6"/>
  <c r="H49" i="6"/>
  <c r="H53" i="6"/>
  <c r="H61" i="6"/>
  <c r="H73" i="6"/>
  <c r="H79" i="6"/>
  <c r="H99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2" i="6"/>
  <c r="H3" i="5"/>
  <c r="H2" i="5"/>
  <c r="H4" i="5" s="1"/>
  <c r="B38" i="4"/>
  <c r="B34" i="4"/>
  <c r="B25" i="4"/>
  <c r="B24" i="4"/>
  <c r="B30" i="4"/>
  <c r="B29" i="4"/>
  <c r="B20" i="4"/>
  <c r="B19" i="4"/>
  <c r="B18" i="4"/>
  <c r="B17" i="4"/>
  <c r="B13" i="4"/>
  <c r="B12" i="4"/>
  <c r="B11" i="4"/>
  <c r="B10" i="4"/>
  <c r="B9" i="4"/>
  <c r="B8" i="4"/>
  <c r="B7" i="4"/>
  <c r="B3" i="4"/>
  <c r="C35" i="1"/>
  <c r="C34" i="1"/>
  <c r="E28" i="1" a="1"/>
  <c r="E28" i="1" s="1"/>
  <c r="C33" i="1"/>
  <c r="C32" i="1"/>
  <c r="C31" i="1"/>
  <c r="C30" i="1"/>
  <c r="C29" i="1"/>
  <c r="H666" i="3" l="1" a="1"/>
  <c r="H666" i="3" s="1"/>
  <c r="F194" i="3"/>
  <c r="F182" i="3"/>
  <c r="F170" i="3"/>
  <c r="F158" i="3"/>
  <c r="F146" i="3"/>
  <c r="F134" i="3"/>
  <c r="F110" i="3"/>
  <c r="F98" i="3"/>
  <c r="F86" i="3"/>
  <c r="F74" i="3"/>
  <c r="F46" i="3"/>
  <c r="F32" i="3"/>
  <c r="F16" i="3"/>
  <c r="H87" i="6"/>
  <c r="H85" i="6"/>
  <c r="F205" i="3"/>
  <c r="F193" i="3"/>
  <c r="F181" i="3"/>
  <c r="F169" i="3"/>
  <c r="F157" i="3"/>
  <c r="F145" i="3"/>
  <c r="F133" i="3"/>
  <c r="F109" i="3"/>
  <c r="F85" i="3"/>
  <c r="F73" i="3"/>
  <c r="H86" i="6"/>
  <c r="H75" i="6"/>
  <c r="F192" i="3"/>
  <c r="F180" i="3"/>
  <c r="F168" i="3"/>
  <c r="F156" i="3"/>
  <c r="F144" i="3"/>
  <c r="F132" i="3"/>
  <c r="F120" i="3"/>
  <c r="F108" i="3"/>
  <c r="F96" i="3"/>
  <c r="F84" i="3"/>
  <c r="F72" i="3"/>
  <c r="F58" i="3"/>
  <c r="F44" i="3"/>
  <c r="F30" i="3"/>
  <c r="F14" i="3"/>
  <c r="F83" i="3"/>
  <c r="F57" i="3"/>
  <c r="F43" i="3"/>
  <c r="F29" i="3"/>
  <c r="F9" i="3"/>
  <c r="F82" i="3"/>
  <c r="F70" i="3"/>
  <c r="F56" i="3"/>
  <c r="F42" i="3"/>
  <c r="F81" i="3"/>
  <c r="F69" i="3"/>
  <c r="F55" i="3"/>
  <c r="F41" i="3"/>
  <c r="F27" i="3"/>
  <c r="F7" i="3"/>
  <c r="F36" i="3"/>
  <c r="F59" i="3"/>
  <c r="F60" i="3"/>
  <c r="F25" i="3"/>
  <c r="F47" i="3"/>
  <c r="F13" i="3"/>
  <c r="H31" i="6"/>
  <c r="H30" i="6"/>
  <c r="J30" i="6" s="1" a="1"/>
  <c r="J30" i="6" s="1"/>
  <c r="H4" i="6"/>
  <c r="J4" i="6" s="1" a="1"/>
  <c r="J4" i="6" s="1"/>
  <c r="F67" i="3"/>
  <c r="F53" i="3"/>
  <c r="F39" i="3"/>
  <c r="F21" i="3"/>
  <c r="F5" i="3"/>
  <c r="F52" i="3"/>
  <c r="F38" i="3"/>
  <c r="F20" i="3"/>
  <c r="F4" i="3"/>
  <c r="F35" i="3"/>
  <c r="F23" i="3"/>
  <c r="F11" i="3"/>
  <c r="F51" i="3"/>
  <c r="F37" i="3"/>
  <c r="F19" i="3"/>
  <c r="H98" i="6"/>
  <c r="H97" i="6"/>
  <c r="F76" i="3"/>
  <c r="F64" i="3"/>
  <c r="F50" i="3"/>
  <c r="F34" i="3"/>
  <c r="F18" i="3"/>
  <c r="F195" i="3"/>
  <c r="F171" i="3"/>
  <c r="F87" i="3"/>
  <c r="F75" i="3"/>
  <c r="H60" i="6"/>
  <c r="H83" i="6"/>
  <c r="H23" i="6"/>
  <c r="H58" i="6"/>
  <c r="H92" i="6"/>
  <c r="H80" i="6"/>
  <c r="K80" i="6" s="1"/>
  <c r="H68" i="6"/>
  <c r="J68" i="6" s="1" a="1"/>
  <c r="J68" i="6" s="1"/>
  <c r="H56" i="6"/>
  <c r="J56" i="6" s="1" a="1"/>
  <c r="J56" i="6" s="1"/>
  <c r="H44" i="6"/>
  <c r="K44" i="6" s="1"/>
  <c r="H32" i="6"/>
  <c r="K32" i="6" s="1"/>
  <c r="H20" i="6"/>
  <c r="J20" i="6" s="1" a="1"/>
  <c r="J20" i="6" s="1"/>
  <c r="H8" i="6"/>
  <c r="J8" i="6" s="1" a="1"/>
  <c r="J8" i="6" s="1"/>
  <c r="H750" i="3" a="1"/>
  <c r="H750" i="3" s="1"/>
  <c r="H342" i="3" a="1"/>
  <c r="H342" i="3" s="1"/>
  <c r="H84" i="6"/>
  <c r="H95" i="6"/>
  <c r="H47" i="6"/>
  <c r="K47" i="6" s="1"/>
  <c r="H82" i="6"/>
  <c r="J82" i="6" s="1" a="1"/>
  <c r="J82" i="6" s="1"/>
  <c r="H34" i="6"/>
  <c r="J34" i="6" s="1" a="1"/>
  <c r="J34" i="6" s="1"/>
  <c r="H91" i="6"/>
  <c r="J91" i="6" s="1" a="1"/>
  <c r="J91" i="6" s="1"/>
  <c r="H67" i="6"/>
  <c r="J67" i="6" s="1" a="1"/>
  <c r="J67" i="6" s="1"/>
  <c r="H55" i="6"/>
  <c r="J55" i="6" s="1" a="1"/>
  <c r="J55" i="6" s="1"/>
  <c r="H43" i="6"/>
  <c r="J43" i="6" s="1" a="1"/>
  <c r="J43" i="6" s="1"/>
  <c r="H7" i="6"/>
  <c r="J7" i="6" s="1" a="1"/>
  <c r="J7" i="6" s="1"/>
  <c r="H1026" i="3" a="1"/>
  <c r="H1026" i="3" s="1"/>
  <c r="H810" i="3" a="1"/>
  <c r="H810" i="3" s="1"/>
  <c r="H510" i="3" a="1"/>
  <c r="H510" i="3" s="1"/>
  <c r="H30" i="3" a="1"/>
  <c r="H30" i="3" s="1"/>
  <c r="H2" i="6"/>
  <c r="H66" i="6"/>
  <c r="J66" i="6" s="1" a="1"/>
  <c r="J66" i="6" s="1"/>
  <c r="H42" i="6"/>
  <c r="J42" i="6" s="1" a="1"/>
  <c r="J42" i="6" s="1"/>
  <c r="H6" i="6"/>
  <c r="J6" i="6" s="1" a="1"/>
  <c r="J6" i="6" s="1"/>
  <c r="H330" i="3" a="1"/>
  <c r="H330" i="3" s="1"/>
  <c r="H90" i="6"/>
  <c r="K90" i="6" s="1"/>
  <c r="H54" i="6"/>
  <c r="K54" i="6" s="1"/>
  <c r="H18" i="6"/>
  <c r="J18" i="6" s="1" a="1"/>
  <c r="J18" i="6" s="1"/>
  <c r="H101" i="6"/>
  <c r="H89" i="6"/>
  <c r="H77" i="6"/>
  <c r="H65" i="6"/>
  <c r="H41" i="6"/>
  <c r="K41" i="6" s="1"/>
  <c r="H29" i="6"/>
  <c r="K29" i="6" s="1"/>
  <c r="H17" i="6"/>
  <c r="K17" i="6" s="1"/>
  <c r="H5" i="6"/>
  <c r="K5" i="6" s="1"/>
  <c r="H558" i="3" a="1"/>
  <c r="H558" i="3" s="1"/>
  <c r="H402" i="3" a="1"/>
  <c r="H402" i="3" s="1"/>
  <c r="H78" i="6"/>
  <c r="J78" i="6" s="1" a="1"/>
  <c r="J78" i="6" s="1"/>
  <c r="H100" i="6"/>
  <c r="J100" i="6" s="1" a="1"/>
  <c r="J100" i="6" s="1"/>
  <c r="H88" i="6"/>
  <c r="H76" i="6"/>
  <c r="H64" i="6"/>
  <c r="H40" i="6"/>
  <c r="H28" i="6"/>
  <c r="J28" i="6" s="1" a="1"/>
  <c r="J28" i="6" s="1"/>
  <c r="H16" i="6"/>
  <c r="J16" i="6" s="1" a="1"/>
  <c r="J16" i="6" s="1"/>
  <c r="H63" i="6"/>
  <c r="K63" i="6" s="1"/>
  <c r="H51" i="6"/>
  <c r="J51" i="6" s="1" a="1"/>
  <c r="J51" i="6" s="1"/>
  <c r="H39" i="6"/>
  <c r="J39" i="6" s="1" a="1"/>
  <c r="J39" i="6" s="1"/>
  <c r="H27" i="6"/>
  <c r="K27" i="6" s="1"/>
  <c r="H15" i="6"/>
  <c r="J15" i="6" s="1" a="1"/>
  <c r="J15" i="6" s="1"/>
  <c r="H3" i="6"/>
  <c r="K64" i="6" s="1"/>
  <c r="H50" i="6"/>
  <c r="H26" i="6"/>
  <c r="H14" i="6"/>
  <c r="H882" i="3" a="1"/>
  <c r="H882" i="3" s="1"/>
  <c r="H72" i="6"/>
  <c r="J72" i="6" s="1" a="1"/>
  <c r="J72" i="6" s="1"/>
  <c r="H12" i="6"/>
  <c r="J12" i="6" s="1" a="1"/>
  <c r="J12" i="6" s="1"/>
  <c r="H1062" i="3" a="1"/>
  <c r="H1062" i="3" s="1"/>
  <c r="H59" i="6"/>
  <c r="J59" i="6" s="1" a="1"/>
  <c r="J59" i="6" s="1"/>
  <c r="H24" i="6"/>
  <c r="J24" i="6" s="1" a="1"/>
  <c r="J24" i="6" s="1"/>
  <c r="H35" i="6"/>
  <c r="J35" i="6" s="1" a="1"/>
  <c r="J35" i="6" s="1"/>
  <c r="H70" i="6"/>
  <c r="J70" i="6" s="1" a="1"/>
  <c r="J70" i="6" s="1"/>
  <c r="H71" i="6"/>
  <c r="J71" i="6" s="1" a="1"/>
  <c r="J71" i="6" s="1"/>
  <c r="H11" i="6"/>
  <c r="H94" i="6"/>
  <c r="H46" i="6"/>
  <c r="H22" i="6"/>
  <c r="H10" i="6"/>
  <c r="H57" i="6"/>
  <c r="H33" i="6"/>
  <c r="J33" i="6" s="1" a="1"/>
  <c r="J33" i="6" s="1"/>
  <c r="H21" i="6"/>
  <c r="H9" i="6"/>
  <c r="F48" i="3"/>
  <c r="F24" i="3"/>
  <c r="F12" i="3"/>
  <c r="F22" i="3"/>
  <c r="F10" i="3"/>
  <c r="J90" i="6" a="1"/>
  <c r="J90" i="6" s="1"/>
  <c r="J32" i="6" a="1"/>
  <c r="J32" i="6" s="1"/>
  <c r="J101" i="6" a="1"/>
  <c r="J101" i="6" s="1"/>
  <c r="J89" i="6" a="1"/>
  <c r="J89" i="6" s="1"/>
  <c r="J77" i="6" a="1"/>
  <c r="J77" i="6" s="1"/>
  <c r="J65" i="6" a="1"/>
  <c r="J65" i="6" s="1"/>
  <c r="J41" i="6" a="1"/>
  <c r="J41" i="6" s="1"/>
  <c r="J29" i="6" a="1"/>
  <c r="J29" i="6" s="1"/>
  <c r="J17" i="6" a="1"/>
  <c r="J17" i="6" s="1"/>
  <c r="J5" i="6" a="1"/>
  <c r="J5" i="6" s="1"/>
  <c r="J76" i="6" a="1"/>
  <c r="J76" i="6" s="1"/>
  <c r="J64" i="6" a="1"/>
  <c r="J64" i="6" s="1"/>
  <c r="J52" i="6" a="1"/>
  <c r="J52" i="6" s="1"/>
  <c r="J40" i="6" a="1"/>
  <c r="J40" i="6" s="1"/>
  <c r="J98" i="6" a="1"/>
  <c r="J98" i="6" s="1"/>
  <c r="J86" i="6" a="1"/>
  <c r="J86" i="6" s="1"/>
  <c r="J93" i="6" a="1"/>
  <c r="J93" i="6" s="1"/>
  <c r="J81" i="6" a="1"/>
  <c r="J81" i="6" s="1"/>
  <c r="J69" i="6" a="1"/>
  <c r="J69" i="6" s="1"/>
  <c r="J57" i="6" a="1"/>
  <c r="J57" i="6" s="1"/>
  <c r="J92" i="6" a="1"/>
  <c r="J92" i="6" s="1"/>
  <c r="J80" i="6" a="1"/>
  <c r="J80" i="6" s="1"/>
  <c r="J50" i="6" a="1"/>
  <c r="J50" i="6" s="1"/>
  <c r="J88" i="6" a="1"/>
  <c r="J88" i="6" s="1"/>
  <c r="J99" i="6" a="1"/>
  <c r="J99" i="6" s="1"/>
  <c r="J87" i="6" a="1"/>
  <c r="J87" i="6" s="1"/>
  <c r="J75" i="6" a="1"/>
  <c r="J75" i="6" s="1"/>
  <c r="J63" i="6" a="1"/>
  <c r="J63" i="6" s="1"/>
  <c r="J74" i="6" a="1"/>
  <c r="J74" i="6" s="1"/>
  <c r="J62" i="6" a="1"/>
  <c r="J62" i="6" s="1"/>
  <c r="J26" i="6" a="1"/>
  <c r="J26" i="6" s="1"/>
  <c r="J94" i="6" a="1"/>
  <c r="J94" i="6" s="1"/>
  <c r="J22" i="6" a="1"/>
  <c r="J22" i="6" s="1"/>
  <c r="J84" i="6" a="1"/>
  <c r="J84" i="6" s="1"/>
  <c r="J83" i="6" a="1"/>
  <c r="J83" i="6" s="1"/>
  <c r="J73" i="6" a="1"/>
  <c r="J73" i="6" s="1"/>
  <c r="J21" i="6" a="1"/>
  <c r="J21" i="6" s="1"/>
  <c r="J11" i="6" a="1"/>
  <c r="J11" i="6" s="1"/>
  <c r="J85" i="6" a="1"/>
  <c r="J85" i="6" s="1"/>
  <c r="J13" i="6" a="1"/>
  <c r="J13" i="6" s="1"/>
  <c r="J53" i="6" a="1"/>
  <c r="J53" i="6" s="1"/>
  <c r="J31" i="6" a="1"/>
  <c r="J31" i="6" s="1"/>
  <c r="J10" i="6" a="1"/>
  <c r="J10" i="6" s="1"/>
  <c r="J95" i="6" a="1"/>
  <c r="J95" i="6" s="1"/>
  <c r="J23" i="6" a="1"/>
  <c r="J23" i="6" s="1"/>
  <c r="J61" i="6" a="1"/>
  <c r="J61" i="6" s="1"/>
  <c r="J60" i="6" a="1"/>
  <c r="J60" i="6" s="1"/>
  <c r="J19" i="6" a="1"/>
  <c r="J19" i="6" s="1"/>
  <c r="J49" i="6" a="1"/>
  <c r="J49" i="6" s="1"/>
  <c r="J38" i="6" a="1"/>
  <c r="J38" i="6" s="1"/>
  <c r="J79" i="6" a="1"/>
  <c r="J79" i="6" s="1"/>
  <c r="J58" i="6" a="1"/>
  <c r="J58" i="6" s="1"/>
  <c r="J48" i="6" a="1"/>
  <c r="J48" i="6" s="1"/>
  <c r="J37" i="6" a="1"/>
  <c r="J37" i="6" s="1"/>
  <c r="J46" i="6" a="1"/>
  <c r="J46" i="6" s="1"/>
  <c r="J36" i="6" a="1"/>
  <c r="J36" i="6" s="1"/>
  <c r="J97" i="6" a="1"/>
  <c r="J97" i="6" s="1"/>
  <c r="J45" i="6" a="1"/>
  <c r="J45" i="6" s="1"/>
  <c r="J25" i="6" a="1"/>
  <c r="J25" i="6" s="1"/>
  <c r="J14" i="6" a="1"/>
  <c r="J14" i="6" s="1"/>
  <c r="J96" i="6" a="1"/>
  <c r="J96" i="6" s="1"/>
  <c r="J2" i="6" a="1"/>
  <c r="J2" i="6" s="1"/>
  <c r="K73" i="6" l="1"/>
  <c r="K21" i="6"/>
  <c r="K70" i="6"/>
  <c r="K24" i="6"/>
  <c r="K89" i="6"/>
  <c r="K33" i="6"/>
  <c r="K36" i="6"/>
  <c r="K101" i="6"/>
  <c r="K4" i="6"/>
  <c r="K79" i="6"/>
  <c r="J47" i="6" a="1"/>
  <c r="J47" i="6" s="1"/>
  <c r="J54" i="6" a="1"/>
  <c r="J54" i="6" s="1"/>
  <c r="J44" i="6" a="1"/>
  <c r="J44" i="6" s="1"/>
  <c r="K56" i="6"/>
  <c r="K10" i="6"/>
  <c r="K59" i="6"/>
  <c r="K52" i="6"/>
  <c r="K39" i="6"/>
  <c r="K76" i="6"/>
  <c r="K92" i="6"/>
  <c r="K95" i="6"/>
  <c r="K75" i="6"/>
  <c r="K49" i="6"/>
  <c r="K82" i="6"/>
  <c r="K86" i="6"/>
  <c r="K14" i="6"/>
  <c r="K84" i="6"/>
  <c r="K78" i="6"/>
  <c r="K68" i="6"/>
  <c r="K22" i="6"/>
  <c r="K71" i="6"/>
  <c r="K26" i="6"/>
  <c r="K51" i="6"/>
  <c r="K7" i="6"/>
  <c r="J3" i="6" a="1"/>
  <c r="J3" i="6" s="1"/>
  <c r="O2" i="10" s="1"/>
  <c r="K30" i="6"/>
  <c r="K20" i="6"/>
  <c r="K69" i="6"/>
  <c r="K23" i="6"/>
  <c r="K72" i="6"/>
  <c r="K3" i="6"/>
  <c r="K100" i="6"/>
  <c r="K81" i="6"/>
  <c r="K35" i="6"/>
  <c r="K15" i="6"/>
  <c r="J27" i="6" a="1"/>
  <c r="J27" i="6" s="1"/>
  <c r="J9" i="6" a="1"/>
  <c r="J9" i="6" s="1"/>
  <c r="K61" i="6"/>
  <c r="K34" i="6"/>
  <c r="K83" i="6"/>
  <c r="K38" i="6"/>
  <c r="K53" i="6"/>
  <c r="K50" i="6"/>
  <c r="K2" i="6"/>
  <c r="A16" i="9" s="1" a="1"/>
  <c r="A16" i="9" s="1"/>
  <c r="K62" i="6"/>
  <c r="K37" i="6"/>
  <c r="K46" i="6"/>
  <c r="K65" i="6"/>
  <c r="K25" i="6"/>
  <c r="K87" i="6"/>
  <c r="K74" i="6"/>
  <c r="K16" i="6"/>
  <c r="K6" i="6"/>
  <c r="K40" i="6"/>
  <c r="K85" i="6"/>
  <c r="K98" i="6"/>
  <c r="K58" i="6"/>
  <c r="K12" i="6"/>
  <c r="K77" i="6"/>
  <c r="K99" i="6"/>
  <c r="K60" i="6"/>
  <c r="K9" i="6"/>
  <c r="K13" i="6"/>
  <c r="K45" i="6"/>
  <c r="K94" i="6"/>
  <c r="K48" i="6"/>
  <c r="K42" i="6"/>
  <c r="K66" i="6"/>
  <c r="K18" i="6"/>
  <c r="K8" i="6"/>
  <c r="K57" i="6"/>
  <c r="K11" i="6"/>
  <c r="K28" i="6"/>
  <c r="K97" i="6"/>
  <c r="K93" i="6"/>
  <c r="K96" i="6"/>
  <c r="K31" i="6"/>
  <c r="K43" i="6"/>
  <c r="K55" i="6"/>
  <c r="K67" i="6"/>
  <c r="K91" i="6"/>
  <c r="F2" i="10"/>
  <c r="K88" i="6"/>
  <c r="K19" i="6"/>
  <c r="L2" i="10"/>
  <c r="B42" i="4"/>
  <c r="A3" i="9" l="1" a="1"/>
  <c r="M4" i="9" s="1"/>
  <c r="O12" i="9" l="1"/>
  <c r="N9" i="9"/>
  <c r="A3" i="9"/>
  <c r="N12" i="9"/>
  <c r="N8" i="9"/>
  <c r="M11" i="9"/>
  <c r="O11" i="9"/>
  <c r="O7" i="9"/>
  <c r="M10" i="9"/>
  <c r="P10" i="9"/>
  <c r="P6" i="9"/>
  <c r="M9" i="9"/>
  <c r="N3" i="9"/>
  <c r="N11" i="9"/>
  <c r="N7" i="9"/>
  <c r="M8" i="9"/>
  <c r="N5" i="9"/>
  <c r="O10" i="9"/>
  <c r="O6" i="9"/>
  <c r="M7" i="9"/>
  <c r="O4" i="9"/>
  <c r="P9" i="9"/>
  <c r="P5" i="9"/>
  <c r="M6" i="9"/>
  <c r="N4" i="9"/>
  <c r="N10" i="9"/>
  <c r="N6" i="9"/>
  <c r="M5" i="9"/>
  <c r="P12" i="9"/>
  <c r="O9" i="9"/>
  <c r="O5" i="9"/>
  <c r="M3" i="9"/>
  <c r="O3" i="9"/>
  <c r="P8" i="9"/>
  <c r="P4" i="9"/>
  <c r="P11" i="9"/>
  <c r="O8" i="9"/>
  <c r="M12" i="9"/>
  <c r="P3" i="9"/>
  <c r="P7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B70CD4-CA92-445F-9B47-C3695C57BFE7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  <connection id="2" xr16:uid="{49C562AF-D332-4A4E-B32D-16540D293B18}" keepAlive="1" name="Query - employee_performance" description="Connection to the 'employee_performance' query in the workbook." type="5" refreshedVersion="8" background="1" saveData="1">
    <dbPr connection="Provider=Microsoft.Mashup.OleDb.1;Data Source=$Workbook$;Location=employee_performance;Extended Properties=&quot;&quot;" command="SELECT * FROM [employee_performanc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<sst xmlns="http://schemas.openxmlformats.org/spreadsheetml/2006/main" count="2109" uniqueCount="364">
  <si>
    <t>employee_id</t>
  </si>
  <si>
    <t>name</t>
  </si>
  <si>
    <t>role</t>
  </si>
  <si>
    <t>department</t>
  </si>
  <si>
    <t>age</t>
  </si>
  <si>
    <t>gender</t>
  </si>
  <si>
    <t>join_date</t>
  </si>
  <si>
    <t>EMP1001</t>
  </si>
  <si>
    <t>Adeel Hussain</t>
  </si>
  <si>
    <t>Marketing Manager</t>
  </si>
  <si>
    <t>Marketing</t>
  </si>
  <si>
    <t>Male</t>
  </si>
  <si>
    <t>EMP1002</t>
  </si>
  <si>
    <t>Karan Mathew</t>
  </si>
  <si>
    <t>Marketing Executive</t>
  </si>
  <si>
    <t>EMP1003</t>
  </si>
  <si>
    <t>Steven Al Mansoori</t>
  </si>
  <si>
    <t>Sales Executive</t>
  </si>
  <si>
    <t>Sales</t>
  </si>
  <si>
    <t>EMP1004</t>
  </si>
  <si>
    <t>Ahmed Smith</t>
  </si>
  <si>
    <t>Operations Manager</t>
  </si>
  <si>
    <t>Operations</t>
  </si>
  <si>
    <t>EMP1005</t>
  </si>
  <si>
    <t>Pooja Reddy</t>
  </si>
  <si>
    <t>Female</t>
  </si>
  <si>
    <t>EMP1006</t>
  </si>
  <si>
    <t>Priya Nair</t>
  </si>
  <si>
    <t>Accountant</t>
  </si>
  <si>
    <t>Finance</t>
  </si>
  <si>
    <t>EMP1007</t>
  </si>
  <si>
    <t>Wei Patel</t>
  </si>
  <si>
    <t>Senior Support Associate</t>
  </si>
  <si>
    <t>Customer Support</t>
  </si>
  <si>
    <t>EMP1008</t>
  </si>
  <si>
    <t>Tom Chen</t>
  </si>
  <si>
    <t>Senior Software Engineer</t>
  </si>
  <si>
    <t>Engineering</t>
  </si>
  <si>
    <t>EMP1009</t>
  </si>
  <si>
    <t>Adeel Hassan</t>
  </si>
  <si>
    <t>Support Team Lead</t>
  </si>
  <si>
    <t>EMP1010</t>
  </si>
  <si>
    <t>Ali Gupta</t>
  </si>
  <si>
    <t>Sales Manager</t>
  </si>
  <si>
    <t>EMP1011</t>
  </si>
  <si>
    <t>Karan Ali</t>
  </si>
  <si>
    <t>EMP1012</t>
  </si>
  <si>
    <t>Ali Ali</t>
  </si>
  <si>
    <t>EMP1013</t>
  </si>
  <si>
    <t>Divya Hussain</t>
  </si>
  <si>
    <t>Software Engineer</t>
  </si>
  <si>
    <t>EMP1014</t>
  </si>
  <si>
    <t>Vikram Hussain</t>
  </si>
  <si>
    <t>EMP1015</t>
  </si>
  <si>
    <t>Mark Mohammed</t>
  </si>
  <si>
    <t>EMP1016</t>
  </si>
  <si>
    <t>James Kumar</t>
  </si>
  <si>
    <t>Operations Associate</t>
  </si>
  <si>
    <t>EMP1017</t>
  </si>
  <si>
    <t>Zara Rodriguez</t>
  </si>
  <si>
    <t>HR Generalist</t>
  </si>
  <si>
    <t>HR</t>
  </si>
  <si>
    <t>EMP1018</t>
  </si>
  <si>
    <t>Karan Al Mansoori</t>
  </si>
  <si>
    <t>EMP1019</t>
  </si>
  <si>
    <t>Faisal Sharma</t>
  </si>
  <si>
    <t>Financial Analyst</t>
  </si>
  <si>
    <t>EMP1020</t>
  </si>
  <si>
    <t>Pooja Abdullah</t>
  </si>
  <si>
    <t>EMP1021</t>
  </si>
  <si>
    <t>Andrew Nair</t>
  </si>
  <si>
    <t>Support Associate</t>
  </si>
  <si>
    <t>EMP1022</t>
  </si>
  <si>
    <t>Khalid Thomas</t>
  </si>
  <si>
    <t>EMP1023</t>
  </si>
  <si>
    <t>Anna Mohammed</t>
  </si>
  <si>
    <t>EMP1024</t>
  </si>
  <si>
    <t>Carlos Lee</t>
  </si>
  <si>
    <t>EMP1025</t>
  </si>
  <si>
    <t>Noor Farooq</t>
  </si>
  <si>
    <t>HR Executive</t>
  </si>
  <si>
    <t>EMP1026</t>
  </si>
  <si>
    <t>Neha Singh</t>
  </si>
  <si>
    <t>Operations Analyst</t>
  </si>
  <si>
    <t>EMP1027</t>
  </si>
  <si>
    <t>Divya Kumar</t>
  </si>
  <si>
    <t>EMP1028</t>
  </si>
  <si>
    <t>Rachel Garcia</t>
  </si>
  <si>
    <t>Finance Manager</t>
  </si>
  <si>
    <t>EMP1029</t>
  </si>
  <si>
    <t>Amal Abdullah</t>
  </si>
  <si>
    <t>EMP1030</t>
  </si>
  <si>
    <t>Layla Mohammed</t>
  </si>
  <si>
    <t>EMP1031</t>
  </si>
  <si>
    <t>Pooja Joseph</t>
  </si>
  <si>
    <t>EMP1032</t>
  </si>
  <si>
    <t>Lisa Gupta</t>
  </si>
  <si>
    <t>QA Engineer</t>
  </si>
  <si>
    <t>EMP1033</t>
  </si>
  <si>
    <t>David Singh</t>
  </si>
  <si>
    <t>EMP1034</t>
  </si>
  <si>
    <t>Noor Hussain</t>
  </si>
  <si>
    <t>Engineering Manager</t>
  </si>
  <si>
    <t>EMP1035</t>
  </si>
  <si>
    <t>John Gupta</t>
  </si>
  <si>
    <t>EMP1036</t>
  </si>
  <si>
    <t>Lisa Abdullah</t>
  </si>
  <si>
    <t>EMP1037</t>
  </si>
  <si>
    <t>Salma Patel</t>
  </si>
  <si>
    <t>EMP1038</t>
  </si>
  <si>
    <t>Andrew Brown</t>
  </si>
  <si>
    <t>Senior Sales Executive</t>
  </si>
  <si>
    <t>EMP1039</t>
  </si>
  <si>
    <t>Faisal Hussain</t>
  </si>
  <si>
    <t>EMP1040</t>
  </si>
  <si>
    <t>Lisa Mathew</t>
  </si>
  <si>
    <t>EMP1041</t>
  </si>
  <si>
    <t>Sophia Singh</t>
  </si>
  <si>
    <t>EMP1042</t>
  </si>
  <si>
    <t>Daniel Farooq</t>
  </si>
  <si>
    <t>EMP1043</t>
  </si>
  <si>
    <t>Lisa Reddy</t>
  </si>
  <si>
    <t>EMP1044</t>
  </si>
  <si>
    <t>Mark Thomas</t>
  </si>
  <si>
    <t>EMP1045</t>
  </si>
  <si>
    <t>Steven Gupta</t>
  </si>
  <si>
    <t>EMP1046</t>
  </si>
  <si>
    <t>Imran Gupta</t>
  </si>
  <si>
    <t>EMP1047</t>
  </si>
  <si>
    <t>Rajesh Singh</t>
  </si>
  <si>
    <t>EMP1048</t>
  </si>
  <si>
    <t>Salma Gupta</t>
  </si>
  <si>
    <t>EMP1049</t>
  </si>
  <si>
    <t>Steven Verma</t>
  </si>
  <si>
    <t>EMP1050</t>
  </si>
  <si>
    <t>Sarah Sharma</t>
  </si>
  <si>
    <t>EMP1051</t>
  </si>
  <si>
    <t>Michael Hussain</t>
  </si>
  <si>
    <t>EMP1052</t>
  </si>
  <si>
    <t>Sana Ali</t>
  </si>
  <si>
    <t>EMP1053</t>
  </si>
  <si>
    <t>Robert Brown</t>
  </si>
  <si>
    <t>EMP1054</t>
  </si>
  <si>
    <t>Steven Saeed</t>
  </si>
  <si>
    <t>EMP1055</t>
  </si>
  <si>
    <t>Rachel Verma</t>
  </si>
  <si>
    <t>EMP1056</t>
  </si>
  <si>
    <t>David Hussain</t>
  </si>
  <si>
    <t>EMP1057</t>
  </si>
  <si>
    <t>Huda Saeed</t>
  </si>
  <si>
    <t>EMP1058</t>
  </si>
  <si>
    <t>Priya Sharma</t>
  </si>
  <si>
    <t>EMP1059</t>
  </si>
  <si>
    <t>Arjun Nair</t>
  </si>
  <si>
    <t>EMP1060</t>
  </si>
  <si>
    <t>Sophia Brown</t>
  </si>
  <si>
    <t>EMP1061</t>
  </si>
  <si>
    <t>Emma Verma</t>
  </si>
  <si>
    <t>EMP1062</t>
  </si>
  <si>
    <t>Rajesh Abdullah</t>
  </si>
  <si>
    <t>EMP1063</t>
  </si>
  <si>
    <t>Sameer Patel</t>
  </si>
  <si>
    <t>EMP1064</t>
  </si>
  <si>
    <t>John Nair</t>
  </si>
  <si>
    <t>EMP1065</t>
  </si>
  <si>
    <t>EMP1066</t>
  </si>
  <si>
    <t>Wei Saeed</t>
  </si>
  <si>
    <t>Content Specialist</t>
  </si>
  <si>
    <t>EMP1067</t>
  </si>
  <si>
    <t>Pooja Iqbal</t>
  </si>
  <si>
    <t>EMP1068</t>
  </si>
  <si>
    <t>Omar Iqbal</t>
  </si>
  <si>
    <t>EMP1069</t>
  </si>
  <si>
    <t>Rajesh Gupta</t>
  </si>
  <si>
    <t>DevOps Engineer</t>
  </si>
  <si>
    <t>EMP1070</t>
  </si>
  <si>
    <t>Huda Gupta</t>
  </si>
  <si>
    <t>EMP1071</t>
  </si>
  <si>
    <t>Sana Lee</t>
  </si>
  <si>
    <t>EMP1072</t>
  </si>
  <si>
    <t>Andrew Saeed</t>
  </si>
  <si>
    <t>EMP1073</t>
  </si>
  <si>
    <t>Ali Patel</t>
  </si>
  <si>
    <t>EMP1074</t>
  </si>
  <si>
    <t>Mei Smith</t>
  </si>
  <si>
    <t>EMP1075</t>
  </si>
  <si>
    <t>Zara Nair</t>
  </si>
  <si>
    <t>EMP1076</t>
  </si>
  <si>
    <t>Grace Garcia</t>
  </si>
  <si>
    <t>EMP1077</t>
  </si>
  <si>
    <t>Daniel Hussain</t>
  </si>
  <si>
    <t>EMP1078</t>
  </si>
  <si>
    <t>Ravi Rodriguez</t>
  </si>
  <si>
    <t>EMP1079</t>
  </si>
  <si>
    <t>Kavya Garcia</t>
  </si>
  <si>
    <t>EMP1080</t>
  </si>
  <si>
    <t>Kavya Rodriguez</t>
  </si>
  <si>
    <t>EMP1081</t>
  </si>
  <si>
    <t>Omar Patel</t>
  </si>
  <si>
    <t>EMP1082</t>
  </si>
  <si>
    <t>Hala Brown</t>
  </si>
  <si>
    <t>EMP1083</t>
  </si>
  <si>
    <t>Imran Farooq</t>
  </si>
  <si>
    <t>EMP1084</t>
  </si>
  <si>
    <t>Rahul Hassan</t>
  </si>
  <si>
    <t>HR Manager</t>
  </si>
  <si>
    <t>EMP1085</t>
  </si>
  <si>
    <t>Anjali Smith</t>
  </si>
  <si>
    <t>EMP1086</t>
  </si>
  <si>
    <t>Ahmed Patel</t>
  </si>
  <si>
    <t>EMP1087</t>
  </si>
  <si>
    <t>Zara Brown</t>
  </si>
  <si>
    <t>EMP1088</t>
  </si>
  <si>
    <t>EMP1089</t>
  </si>
  <si>
    <t>Rachel Nair</t>
  </si>
  <si>
    <t>EMP1090</t>
  </si>
  <si>
    <t>Rajesh Mohammed</t>
  </si>
  <si>
    <t>EMP1091</t>
  </si>
  <si>
    <t>Nikhil Hussain</t>
  </si>
  <si>
    <t>EMP1092</t>
  </si>
  <si>
    <t>Ravi Nair</t>
  </si>
  <si>
    <t>EMP1093</t>
  </si>
  <si>
    <t>Andrew Ali</t>
  </si>
  <si>
    <t>EMP1094</t>
  </si>
  <si>
    <t>Andrew Lee</t>
  </si>
  <si>
    <t>EMP1095</t>
  </si>
  <si>
    <t>Priya Al Mansoori</t>
  </si>
  <si>
    <t>EMP1096</t>
  </si>
  <si>
    <t>Tom Sharma</t>
  </si>
  <si>
    <t>EMP1097</t>
  </si>
  <si>
    <t>Adeel Wilson</t>
  </si>
  <si>
    <t>EMP1098</t>
  </si>
  <si>
    <t>Daniel Wilson</t>
  </si>
  <si>
    <t>EMP1099</t>
  </si>
  <si>
    <t>Steven Ali</t>
  </si>
  <si>
    <t>EMP1100</t>
  </si>
  <si>
    <t>Yasmin Mohammed</t>
  </si>
  <si>
    <t>month</t>
  </si>
  <si>
    <t>target</t>
  </si>
  <si>
    <t>achieved</t>
  </si>
  <si>
    <t>Table</t>
  </si>
  <si>
    <t>Column</t>
  </si>
  <si>
    <t>Description</t>
  </si>
  <si>
    <t>Employee</t>
  </si>
  <si>
    <t>Performance</t>
  </si>
  <si>
    <t>Unique identifier for each employee</t>
  </si>
  <si>
    <t>Employee full name</t>
  </si>
  <si>
    <t>Employee job title</t>
  </si>
  <si>
    <t>Employee department name</t>
  </si>
  <si>
    <t>Employee age</t>
  </si>
  <si>
    <t>Employee gender</t>
  </si>
  <si>
    <t>Employee joining date</t>
  </si>
  <si>
    <t>Employee identifier used for linking</t>
  </si>
  <si>
    <t>Performance month</t>
  </si>
  <si>
    <t>Monthly target assigned</t>
  </si>
  <si>
    <t>Actual achievement recorded</t>
  </si>
  <si>
    <t>Dictionary</t>
  </si>
  <si>
    <t>Business Questions</t>
  </si>
  <si>
    <t>Which employees achieve the highest performance?</t>
  </si>
  <si>
    <t>Which employees consistently exceed targets?</t>
  </si>
  <si>
    <t>Which departments perform the best?</t>
  </si>
  <si>
    <t>Which departments underperform?</t>
  </si>
  <si>
    <t>How does performance change over time?</t>
  </si>
  <si>
    <t>Which roles perform best?</t>
  </si>
  <si>
    <t>Does performance vary by gender?</t>
  </si>
  <si>
    <t>Does performance vary by age group?</t>
  </si>
  <si>
    <t>Which employees require performance improvement?</t>
  </si>
  <si>
    <t>Dataset Summary</t>
  </si>
  <si>
    <t>Value</t>
  </si>
  <si>
    <t>Metric</t>
  </si>
  <si>
    <t>Employee Records</t>
  </si>
  <si>
    <t>Performance Records</t>
  </si>
  <si>
    <t>Departments</t>
  </si>
  <si>
    <t>Roles</t>
  </si>
  <si>
    <t>Months</t>
  </si>
  <si>
    <t>Who are the most consistent employees?</t>
  </si>
  <si>
    <t>Result</t>
  </si>
  <si>
    <t>Earliest Date</t>
  </si>
  <si>
    <t>Latest Date</t>
  </si>
  <si>
    <t>Duplicate Employee IDs</t>
  </si>
  <si>
    <t>Check</t>
  </si>
  <si>
    <t>Missing Values: Employee Table</t>
  </si>
  <si>
    <t>Missing Values</t>
  </si>
  <si>
    <t>Missing Values: Performance Table</t>
  </si>
  <si>
    <t>Age Validation</t>
  </si>
  <si>
    <t>Minimum Age</t>
  </si>
  <si>
    <t>Maximum Age</t>
  </si>
  <si>
    <t>Joining Date Validation</t>
  </si>
  <si>
    <t>Earliest Join Date</t>
  </si>
  <si>
    <t>Latest Join Date</t>
  </si>
  <si>
    <t>Target Validation</t>
  </si>
  <si>
    <t>Invalid Targets</t>
  </si>
  <si>
    <t>Achievement Validation</t>
  </si>
  <si>
    <t>Invalid Achievements</t>
  </si>
  <si>
    <t>Duplicate Employee Month Records</t>
  </si>
  <si>
    <t>Final Validation Summary</t>
  </si>
  <si>
    <t>Validation Check</t>
  </si>
  <si>
    <t>Missing Employee Fields</t>
  </si>
  <si>
    <t>MissingPerformance Fields</t>
  </si>
  <si>
    <t>Employee-Month Uniqueness</t>
  </si>
  <si>
    <t>ID_count</t>
  </si>
  <si>
    <t>employee_month_key</t>
  </si>
  <si>
    <t>key_count</t>
  </si>
  <si>
    <t>Pass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</si>
  <si>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</si>
  <si>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</si>
  <si>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</si>
  <si>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</si>
  <si>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</si>
  <si>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</si>
  <si>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</si>
  <si>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</si>
  <si>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</si>
  <si>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</si>
  <si>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</si>
  <si>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</si>
  <si>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</si>
  <si>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</si>
  <si>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employee_id</t>
  </si>
  <si>
    <t>Months Recorded</t>
  </si>
  <si>
    <t>join_year</t>
  </si>
  <si>
    <t>Join Category</t>
  </si>
  <si>
    <t>Employees Count</t>
  </si>
  <si>
    <t>Before 2025</t>
  </si>
  <si>
    <t>After 2025</t>
  </si>
  <si>
    <t>Total</t>
  </si>
  <si>
    <t>performance_pct</t>
  </si>
  <si>
    <t>performance_status</t>
  </si>
  <si>
    <t>avg_performance_pct</t>
  </si>
  <si>
    <t>total_months</t>
  </si>
  <si>
    <t>Average of avg_performance_pct</t>
  </si>
  <si>
    <t>Department</t>
  </si>
  <si>
    <t>Average Performance</t>
  </si>
  <si>
    <t>Employee Count</t>
  </si>
  <si>
    <t>Average</t>
  </si>
  <si>
    <t>Excellent</t>
  </si>
  <si>
    <t>Good</t>
  </si>
  <si>
    <t>Poor</t>
  </si>
  <si>
    <t>Performance Category</t>
  </si>
  <si>
    <t>employee_rank</t>
  </si>
  <si>
    <t>rank</t>
  </si>
  <si>
    <t>Top 10 Employees  based on Performance</t>
  </si>
  <si>
    <t>Bottom 10 Employees  based on Performance</t>
  </si>
  <si>
    <t>Department Analysis(Employee_Summary)</t>
  </si>
  <si>
    <t>Performance Analysis(Employee_Summary)</t>
  </si>
  <si>
    <t>Average of performance_pct</t>
  </si>
  <si>
    <t>Roles Analysis(Employee_Summary)</t>
  </si>
  <si>
    <t>avg_performance</t>
  </si>
  <si>
    <t>Gender</t>
  </si>
  <si>
    <t>Role</t>
  </si>
  <si>
    <t>Monthly Trend(Employee_Performance)</t>
  </si>
  <si>
    <t>Gender Analysis(Employee_Summary)</t>
  </si>
  <si>
    <t>age_group</t>
  </si>
  <si>
    <t>Early Career</t>
  </si>
  <si>
    <t>Mid Career</t>
  </si>
  <si>
    <t>Senior</t>
  </si>
  <si>
    <t>Age Group Analysis(Employee Summary)</t>
  </si>
  <si>
    <t>Age Group</t>
  </si>
  <si>
    <t>Average of Performance</t>
  </si>
  <si>
    <t>Employee Performance Analytics Dashboard</t>
  </si>
  <si>
    <t>Total Employees</t>
  </si>
  <si>
    <t>Best Performing Department</t>
  </si>
  <si>
    <t>Excellent Performing Employees</t>
  </si>
  <si>
    <t>Underperforming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</si>
</sst>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6"/>
      <color rgb="FF1F4E78"/>
      <name val="Dubai Medium"/>
      <family val="2"/>
    </font>
    <font>
      <sz val="12"/>
      <color theme="0"/>
      <name val="Dubai Medium"/>
      <family val="2"/>
    </font>
    <font>
      <sz val="12"/>
      <color rgb="FF1F4E78"/>
      <name val="Dubai Medium"/>
      <family val="2"/>
    </font>
    <font>
      <sz val="14"/>
      <color rgb="FF1F4E78"/>
      <name val="Dubai Medium"/>
      <family val="2"/>
    </font>
    <font>
      <sz val="11"/>
      <color rgb="FF1F4E78"/>
      <name val="Dubai Medium"/>
      <family val="2"/>
    </font>
    <font>
      <sz val="10"/>
      <color rgb="FF1F4E78"/>
      <name val="Dubai Medium"/>
      <family val="2"/>
    </font>
    <font>
      <b/>
      <sz val="9"/>
      <color theme="0"/>
      <name val="Dubai Medium"/>
      <family val="2"/>
    </font>
    <font>
      <b/>
      <sz val="11"/>
      <color theme="0"/>
      <name val="Dubai Medium"/>
      <family val="2"/>
    </font>
    <font>
      <sz val="11"/>
      <color theme="1"/>
      <name val="Dubai Medium"/>
      <family val="2"/>
    </font>
    <font>
      <b/>
      <sz val="10"/>
      <color theme="0"/>
      <name val="Dubai Medium"/>
      <family val="2"/>
    </font>
    <font>
      <sz val="10"/>
      <color theme="1"/>
      <name val="Dubai Medium"/>
      <family val="2"/>
    </font>
    <font>
      <b/>
      <sz val="12"/>
      <color theme="1"/>
      <name val="Dubai Medium"/>
      <family val="2"/>
    </font>
    <font>
      <b/>
      <sz val="11"/>
      <color theme="1"/>
      <name val="Dubai Medium"/>
      <family val="2"/>
    </font>
    <font>
      <sz val="12"/>
      <color theme="1"/>
      <name val="Dubai Medium"/>
      <family val="2"/>
    </font>
    <font>
      <b/>
      <sz val="12"/>
      <color theme="0"/>
      <name val="Dubai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1F4E78"/>
      </left>
      <right/>
      <top style="thin">
        <color rgb="FF1F4E78"/>
      </top>
      <bottom/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/>
      <top/>
      <bottom/>
      <diagonal/>
    </border>
    <border>
      <left/>
      <right style="thin">
        <color rgb="FF1F4E78"/>
      </right>
      <top/>
      <bottom/>
      <diagonal/>
    </border>
    <border>
      <left style="thin">
        <color rgb="FF1F4E78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 style="thin">
        <color rgb="FF1F4E78"/>
      </right>
      <top/>
      <bottom style="thin">
        <color rgb="FF1F4E78"/>
      </bottom>
      <diagonal/>
    </border>
    <border>
      <left/>
      <right/>
      <top style="thin">
        <color theme="0"/>
      </top>
      <bottom/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1F4E78"/>
      </left>
      <right style="thin">
        <color rgb="FF1F4E78"/>
      </right>
      <top/>
      <bottom style="thin">
        <color rgb="FF1F4E78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vertic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7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7" fillId="2" borderId="1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10" fontId="7" fillId="2" borderId="4" xfId="0" applyNumberFormat="1" applyFont="1" applyFill="1" applyBorder="1" applyAlignment="1">
      <alignment horizontal="center" vertical="center"/>
    </xf>
    <xf numFmtId="10" fontId="7" fillId="2" borderId="9" xfId="0" applyNumberFormat="1" applyFont="1" applyFill="1" applyBorder="1" applyAlignment="1">
      <alignment horizontal="center" vertical="center"/>
    </xf>
    <xf numFmtId="10" fontId="8" fillId="2" borderId="5" xfId="0" applyNumberFormat="1" applyFont="1" applyFill="1" applyBorder="1" applyAlignment="1">
      <alignment horizontal="center" vertical="center"/>
    </xf>
    <xf numFmtId="10" fontId="8" fillId="2" borderId="6" xfId="0" applyNumberFormat="1" applyFont="1" applyFill="1" applyBorder="1" applyAlignment="1">
      <alignment horizontal="center" vertical="center"/>
    </xf>
    <xf numFmtId="10" fontId="8" fillId="2" borderId="10" xfId="0" applyNumberFormat="1" applyFont="1" applyFill="1" applyBorder="1" applyAlignment="1">
      <alignment horizontal="center" vertical="center"/>
    </xf>
    <xf numFmtId="10" fontId="8" fillId="2" borderId="11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10" fontId="15" fillId="0" borderId="0" xfId="0" applyNumberFormat="1" applyFont="1" applyBorder="1" applyAlignment="1">
      <alignment horizontal="center"/>
    </xf>
    <xf numFmtId="0" fontId="13" fillId="0" borderId="0" xfId="0" applyFont="1"/>
    <xf numFmtId="0" fontId="13" fillId="0" borderId="1" xfId="0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/>
    <xf numFmtId="0" fontId="13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pivotButton="1" applyFont="1"/>
    <xf numFmtId="0" fontId="13" fillId="0" borderId="0" xfId="0" applyFont="1" applyAlignment="1">
      <alignment horizontal="left"/>
    </xf>
    <xf numFmtId="10" fontId="13" fillId="0" borderId="0" xfId="0" applyNumberFormat="1" applyFont="1"/>
    <xf numFmtId="0" fontId="13" fillId="0" borderId="0" xfId="0" applyNumberFormat="1" applyFont="1"/>
    <xf numFmtId="0" fontId="13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0" fontId="13" fillId="0" borderId="0" xfId="0" applyNumberFormat="1" applyFont="1" applyAlignment="1">
      <alignment horizontal="center"/>
    </xf>
    <xf numFmtId="14" fontId="13" fillId="0" borderId="0" xfId="0" applyNumberFormat="1" applyFont="1"/>
    <xf numFmtId="0" fontId="1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1F4E78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numFmt numFmtId="14" formatCode="0.00%"/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numFmt numFmtId="14" formatCode="0.00%"/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numFmt numFmtId="14" formatCode="0.00%"/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numFmt numFmtId="14" formatCode="0.00%"/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numFmt numFmtId="14" formatCode="0.00%"/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bottom" textRotation="0" wrapText="0" indent="0" justifyLastLine="0" shrinkToFit="0" readingOrder="0"/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name val="Dubai Medium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Dubai Medium"/>
        <family val="2"/>
        <scheme val="none"/>
      </font>
    </dxf>
    <dxf>
      <numFmt numFmtId="14" formatCode="0.00%"/>
    </dxf>
  </dxfs>
  <tableStyles count="0" defaultTableStyle="TableStyleMedium2" defaultPivotStyle="PivotStyleLight16"/>
  <colors>
    <mruColors>
      <color rgb="FF1F4E78"/>
      <color rgb="FFE07B39"/>
      <color rgb="FF9999FF"/>
      <color rgb="FF99FF66"/>
      <color rgb="FF00CC66"/>
      <color rgb="FF0F172A"/>
      <color rgb="FFE5E7EB"/>
      <color rgb="FFF3F4F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[employee_performance_analysis.xlsx]Pivot_Tables!PivotTable9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90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Monthly</a:t>
            </a:r>
            <a:r>
              <a:rPr lang="en-US" sz="900" baseline="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 Performance Trend</a:t>
            </a:r>
            <a:endParaRPr lang="en-US" sz="900">
              <a:solidFill>
                <a:schemeClr val="bg1"/>
              </a:solidFill>
              <a:latin typeface="Dubai Medium" panose="020B0603030403030204" pitchFamily="34" charset="-78"/>
              <a:cs typeface="Dubai Medium" panose="020B0603030403030204" pitchFamily="34" charset="-78"/>
            </a:endParaRPr>
          </a:p>
        </c:rich>
      </c:tx>
      <c:layout>
        <c:manualLayout>
          <c:xMode val="edge"/>
          <c:yMode val="edge"/>
          <c:x val="0.31088097886245919"/>
          <c:y val="7.9355705538846823E-3"/>
        </c:manualLayout>
      </c:layout>
      <c:overlay val="0"/>
      <c:spPr>
        <a:solidFill>
          <a:srgbClr val="1F4E78"/>
        </a:solidFill>
        <a:ln w="0">
          <a:solidFill>
            <a:schemeClr val="accent1">
              <a:shade val="1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Pivot_Tables!$B$22:$B$34</c:f>
              <c:numCache>
                <c:formatCode>0.00%</c:formatCode>
                <c:ptCount val="12"/>
                <c:pt idx="0">
                  <c:v>0.95376275207983918</c:v>
                </c:pt>
                <c:pt idx="1">
                  <c:v>0.95371226235864381</c:v>
                </c:pt>
                <c:pt idx="2">
                  <c:v>0.95592676567711299</c:v>
                </c:pt>
                <c:pt idx="3">
                  <c:v>0.95916847989523024</c:v>
                </c:pt>
                <c:pt idx="4">
                  <c:v>0.96657412241329355</c:v>
                </c:pt>
                <c:pt idx="5">
                  <c:v>0.95443151289038164</c:v>
                </c:pt>
                <c:pt idx="6">
                  <c:v>0.95203493911412318</c:v>
                </c:pt>
                <c:pt idx="7">
                  <c:v>0.91094097080322456</c:v>
                </c:pt>
                <c:pt idx="8">
                  <c:v>0.94846779268400516</c:v>
                </c:pt>
                <c:pt idx="9">
                  <c:v>0.96038361110444126</c:v>
                </c:pt>
                <c:pt idx="10">
                  <c:v>1.0088049048027725</c:v>
                </c:pt>
                <c:pt idx="11">
                  <c:v>0.97030696452896659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9-4148-92E8-0721EBF29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42416"/>
        <c:axId val="92142896"/>
      </c:lineChart>
      <c:catAx>
        <c:axId val="9214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42896"/>
        <c:crosses val="autoZero"/>
        <c:auto val="1"/>
        <c:lblAlgn val="ctr"/>
        <c:lblOffset val="100"/>
        <c:noMultiLvlLbl val="0"/>
      </c:catAx>
      <c:valAx>
        <c:axId val="921428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4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[employee_performance_analysis.xlsx]Pivot_Tables!PivotTable7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Employee</a:t>
            </a:r>
            <a:r>
              <a:rPr lang="en-US" sz="900" b="0" baseline="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 Performance Distribution</a:t>
            </a:r>
            <a:endParaRPr lang="en-US" sz="900" b="0">
              <a:solidFill>
                <a:schemeClr val="bg1"/>
              </a:solidFill>
              <a:latin typeface="Dubai Medium" panose="020B0603030403030204" pitchFamily="34" charset="-78"/>
              <a:cs typeface="Dubai Medium" panose="020B0603030403030204" pitchFamily="34" charset="-78"/>
            </a:endParaRPr>
          </a:p>
        </c:rich>
      </c:tx>
      <c:layout>
        <c:manualLayout>
          <c:xMode val="edge"/>
          <c:yMode val="edge"/>
          <c:x val="0.29427721258898348"/>
          <c:y val="8.152172168740977E-3"/>
        </c:manualLayout>
      </c:layout>
      <c:overlay val="0"/>
      <c:spPr>
        <a:solidFill>
          <a:srgbClr val="1F4E7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CC6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9FF6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CC6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99FF6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00CC6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FF6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1F4E78"/>
                  </a:solidFill>
                  <a:latin typeface="Dubai Medium" panose="020B0603030403030204" pitchFamily="34" charset="-78"/>
                  <a:ea typeface="+mn-ea"/>
                  <a:cs typeface="Dubai Medium" panose="020B0603030403030204" pitchFamily="34" charset="-78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9296877252774148E-3"/>
              <c:y val="1.630434433748191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1F4E78"/>
                  </a:solidFill>
                  <a:latin typeface="Dubai Medium" panose="020B0603030403030204" pitchFamily="34" charset="-78"/>
                  <a:ea typeface="+mn-ea"/>
                  <a:cs typeface="Dubai Medium" panose="020B0603030403030204" pitchFamily="34" charset="-78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CC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788034555551375E-2"/>
              <c:y val="-1.4945476324607277E-1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800" b="0" i="0" u="none" strike="noStrike" kern="1200" baseline="0">
                  <a:solidFill>
                    <a:srgbClr val="1F4E78"/>
                  </a:solidFill>
                  <a:latin typeface="Dubai Medium" panose="020B0603030403030204" pitchFamily="34" charset="-78"/>
                  <a:ea typeface="+mn-ea"/>
                  <a:cs typeface="Dubai Medium" panose="020B0603030403030204" pitchFamily="34" charset="-78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rgbClr val="99FF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648323284350647E-2"/>
              <c:y val="-8.152140073574966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800" b="0" i="0" u="none" strike="noStrike" kern="1200" baseline="0">
                  <a:solidFill>
                    <a:srgbClr val="1F4E78"/>
                  </a:solidFill>
                  <a:latin typeface="Dubai Medium" panose="020B0603030403030204" pitchFamily="34" charset="-78"/>
                  <a:ea typeface="+mn-ea"/>
                  <a:cs typeface="Dubai Medium" panose="020B0603030403030204" pitchFamily="34" charset="-78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5068366685252106E-2"/>
                  <c:h val="0.25906511916614189"/>
                </c:manualLayout>
              </c15:layout>
            </c:ext>
          </c:extLst>
        </c:dLbl>
      </c:pivotFmt>
      <c:pivotFmt>
        <c:idx val="19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804691329716051E-2"/>
              <c:y val="0.18749995988104248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1F4E78"/>
                  </a:solidFill>
                  <a:latin typeface="Dubai Medium" panose="020B0603030403030204" pitchFamily="34" charset="-78"/>
                  <a:ea typeface="+mn-ea"/>
                  <a:cs typeface="Dubai Medium" panose="020B0603030403030204" pitchFamily="34" charset="-78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938218191607577"/>
          <c:y val="0.19507441906144751"/>
          <c:w val="0.23932157659645492"/>
          <c:h val="0.66593810639804307"/>
        </c:manualLayout>
      </c:layout>
      <c:pieChart>
        <c:varyColors val="1"/>
        <c:ser>
          <c:idx val="0"/>
          <c:order val="0"/>
          <c:tx>
            <c:strRef>
              <c:f>Pivot_Tables!$F$3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3A-412A-9E2B-4090ED795C41}"/>
              </c:ext>
            </c:extLst>
          </c:dPt>
          <c:dPt>
            <c:idx val="1"/>
            <c:bubble3D val="0"/>
            <c:spPr>
              <a:solidFill>
                <a:srgbClr val="00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3A-412A-9E2B-4090ED795C41}"/>
              </c:ext>
            </c:extLst>
          </c:dPt>
          <c:dPt>
            <c:idx val="2"/>
            <c:bubble3D val="0"/>
            <c:spPr>
              <a:solidFill>
                <a:srgbClr val="99FF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3A-412A-9E2B-4090ED795C41}"/>
              </c:ext>
            </c:extLst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3A-412A-9E2B-4090ED795C41}"/>
              </c:ext>
            </c:extLst>
          </c:dPt>
          <c:dLbls>
            <c:dLbl>
              <c:idx val="0"/>
              <c:layout>
                <c:manualLayout>
                  <c:x val="2.9296877252774148E-3"/>
                  <c:y val="1.63043443374819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3A-412A-9E2B-4090ED795C41}"/>
                </c:ext>
              </c:extLst>
            </c:dLbl>
            <c:dLbl>
              <c:idx val="1"/>
              <c:layout>
                <c:manualLayout>
                  <c:x val="3.1788034555551375E-2"/>
                  <c:y val="-1.4945476324607277E-16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1F4E78"/>
                      </a:solidFill>
                      <a:latin typeface="Dubai Medium" panose="020B0603030403030204" pitchFamily="34" charset="-78"/>
                      <a:ea typeface="+mn-ea"/>
                      <a:cs typeface="Dubai Medium" panose="020B0603030403030204" pitchFamily="34" charset="-78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23A-412A-9E2B-4090ED795C41}"/>
                </c:ext>
              </c:extLst>
            </c:dLbl>
            <c:dLbl>
              <c:idx val="2"/>
              <c:layout>
                <c:manualLayout>
                  <c:x val="-1.4648323284350647E-2"/>
                  <c:y val="-8.1521400735749663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1F4E78"/>
                      </a:solidFill>
                      <a:latin typeface="Dubai Medium" panose="020B0603030403030204" pitchFamily="34" charset="-78"/>
                      <a:ea typeface="+mn-ea"/>
                      <a:cs typeface="Dubai Medium" panose="020B0603030403030204" pitchFamily="34" charset="-78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068366685252106E-2"/>
                      <c:h val="0.259065119166141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23A-412A-9E2B-4090ED795C41}"/>
                </c:ext>
              </c:extLst>
            </c:dLbl>
            <c:dLbl>
              <c:idx val="3"/>
              <c:layout>
                <c:manualLayout>
                  <c:x val="-4.9804691329716051E-2"/>
                  <c:y val="0.187499959881042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3A-412A-9E2B-4090ED795C4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1F4E78"/>
                    </a:solidFill>
                    <a:latin typeface="Dubai Medium" panose="020B0603030403030204" pitchFamily="34" charset="-78"/>
                    <a:ea typeface="+mn-ea"/>
                    <a:cs typeface="Dubai Medium" panose="020B0603030403030204" pitchFamily="34" charset="-78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Pivot_Tables!$E$4:$E$8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Pivot_Tables!$F$4:$F$8</c:f>
              <c:numCache>
                <c:formatCode>General</c:formatCode>
                <c:ptCount val="4"/>
                <c:pt idx="0">
                  <c:v>40</c:v>
                </c:pt>
                <c:pt idx="1">
                  <c:v>8</c:v>
                </c:pt>
                <c:pt idx="2">
                  <c:v>33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3A-412A-9E2B-4090ED795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[employee_performance_analysis.xlsx]Pivot_Tables!PivotTable5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90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Department</a:t>
            </a:r>
            <a:r>
              <a:rPr lang="en-IN" sz="900" baseline="0">
                <a:solidFill>
                  <a:schemeClr val="bg1"/>
                </a:solidFill>
                <a:latin typeface="Dubai Medium" panose="020B0603030403030204" pitchFamily="34" charset="-78"/>
                <a:cs typeface="Dubai Medium" panose="020B0603030403030204" pitchFamily="34" charset="-78"/>
              </a:rPr>
              <a:t> Performance Breakdown</a:t>
            </a:r>
            <a:endParaRPr lang="en-IN" sz="900">
              <a:solidFill>
                <a:schemeClr val="bg1"/>
              </a:solidFill>
              <a:latin typeface="Dubai Medium" panose="020B0603030403030204" pitchFamily="34" charset="-78"/>
              <a:cs typeface="Dubai Medium" panose="020B0603030403030204" pitchFamily="34" charset="-78"/>
            </a:endParaRPr>
          </a:p>
        </c:rich>
      </c:tx>
      <c:layout>
        <c:manualLayout>
          <c:xMode val="edge"/>
          <c:yMode val="edge"/>
          <c:x val="0.27300628151818102"/>
          <c:y val="6.3779515310252487E-3"/>
        </c:manualLayout>
      </c:layout>
      <c:overlay val="0"/>
      <c:spPr>
        <a:solidFill>
          <a:srgbClr val="1F4E7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07B39"/>
          </a:solidFill>
          <a:ln>
            <a:solidFill>
              <a:schemeClr val="accent1">
                <a:alpha val="96000"/>
              </a:schemeClr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06858074138209"/>
          <c:y val="0.16421046444996257"/>
          <c:w val="0.7355625932700508"/>
          <c:h val="0.756842196872170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07B39"/>
            </a:solidFill>
            <a:ln>
              <a:solidFill>
                <a:schemeClr val="accent1">
                  <a:alpha val="96000"/>
                </a:schemeClr>
              </a:solidFill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Pivot_Tables!$A$4:$A$11</c:f>
              <c:strCache>
                <c:ptCount val="7"/>
                <c:pt idx="0">
                  <c:v>Customer Support</c:v>
                </c:pt>
                <c:pt idx="1">
                  <c:v>Operations</c:v>
                </c:pt>
                <c:pt idx="2">
                  <c:v>Sales</c:v>
                </c:pt>
                <c:pt idx="3">
                  <c:v>Marketing</c:v>
                </c:pt>
                <c:pt idx="4">
                  <c:v>HR</c:v>
                </c:pt>
                <c:pt idx="5">
                  <c:v>Finance</c:v>
                </c:pt>
                <c:pt idx="6">
                  <c:v>Engineering</c:v>
                </c:pt>
              </c:strCache>
            </c:strRef>
          </c:cat>
          <c:val>
            <c:numRef>
              <c:f>Pivot_Tables!$B$4:$B$11</c:f>
              <c:numCache>
                <c:formatCode>0.00%</c:formatCode>
                <c:ptCount val="7"/>
                <c:pt idx="0">
                  <c:v>0.84090205620663572</c:v>
                </c:pt>
                <c:pt idx="1">
                  <c:v>0.88575374286287278</c:v>
                </c:pt>
                <c:pt idx="2">
                  <c:v>0.91640759321078435</c:v>
                </c:pt>
                <c:pt idx="3">
                  <c:v>0.99905525147656116</c:v>
                </c:pt>
                <c:pt idx="4">
                  <c:v>1.014271472834148</c:v>
                </c:pt>
                <c:pt idx="5">
                  <c:v>1.043520927368055</c:v>
                </c:pt>
                <c:pt idx="6">
                  <c:v>1.0503909188565621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1-4E03-9419-C63421B8D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448991"/>
        <c:axId val="203450911"/>
      </c:barChart>
      <c:catAx>
        <c:axId val="203448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0911"/>
        <c:crosses val="autoZero"/>
        <c:auto val="1"/>
        <c:lblAlgn val="ctr"/>
        <c:lblOffset val="100"/>
        <c:noMultiLvlLbl val="0"/>
      </c:catAx>
      <c:valAx>
        <c:axId val="203450911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20344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image" Target="../media/image10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12" Type="http://schemas.openxmlformats.org/officeDocument/2006/relationships/image" Target="../media/image9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svg"/><Relationship Id="rId11" Type="http://schemas.openxmlformats.org/officeDocument/2006/relationships/image" Target="../media/image8.png"/><Relationship Id="rId5" Type="http://schemas.openxmlformats.org/officeDocument/2006/relationships/image" Target="../media/image2.png"/><Relationship Id="rId10" Type="http://schemas.openxmlformats.org/officeDocument/2006/relationships/image" Target="../media/image7.svg"/><Relationship Id="rId4" Type="http://schemas.openxmlformats.org/officeDocument/2006/relationships/image" Target="../media/image1.emf"/><Relationship Id="rId9" Type="http://schemas.openxmlformats.org/officeDocument/2006/relationships/image" Target="../media/image6.png"/><Relationship Id="rId14" Type="http://schemas.openxmlformats.org/officeDocument/2006/relationships/image" Target="../media/image11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110067</xdr:colOff>
      <xdr:row>4</xdr:row>
      <xdr:rowOff>93132</xdr:rowOff>
    </xdr:from>
    <xdr:to>
      <xdr:col>8</xdr:col>
      <xdr:colOff>372533</xdr:colOff>
      <xdr:row>12</xdr:row>
      <xdr:rowOff>135466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C702C0-AB06-9327-54FB-57F65737A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448733</xdr:colOff>
      <xdr:row>4</xdr:row>
      <xdr:rowOff>76200</xdr:rowOff>
    </xdr:from>
    <xdr:to>
      <xdr:col>15</xdr:col>
      <xdr:colOff>516466</xdr:colOff>
      <xdr:row>12</xdr:row>
      <xdr:rowOff>143934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B7A459E-BB5A-0B92-7913-6E5EC6B40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110067</xdr:colOff>
      <xdr:row>13</xdr:row>
      <xdr:rowOff>42332</xdr:rowOff>
    </xdr:from>
    <xdr:to>
      <xdr:col>8</xdr:col>
      <xdr:colOff>381000</xdr:colOff>
      <xdr:row>22</xdr:row>
      <xdr:rowOff>101599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1468C4C7-B4AC-F569-24CB-162BE77FC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437353</xdr:colOff>
          <xdr:row>13</xdr:row>
          <xdr:rowOff>25399</xdr:rowOff>
        </xdr:from>
        <xdr:to>
          <xdr:col>15</xdr:col>
          <xdr:colOff>524933</xdr:colOff>
          <xdr:row>22</xdr:row>
          <xdr:rowOff>67732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6502C47A-6885-FF3C-D59E-913A9A5E43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op_Bottom_Performers!$M$2:$P$12" spid="_x0000_s1027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4933153" y="2650066"/>
              <a:ext cx="4354780" cy="171873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</xdr:col>
      <xdr:colOff>414863</xdr:colOff>
      <xdr:row>1</xdr:row>
      <xdr:rowOff>42333</xdr:rowOff>
    </xdr:from>
    <xdr:to>
      <xdr:col>2</xdr:col>
      <xdr:colOff>194730</xdr:colOff>
      <xdr:row>2</xdr:row>
      <xdr:rowOff>169332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8B6818F-7FC7-10D8-4ECE-1E2DFE0F7839}"/>
            </a:ext>
          </a:extLst>
        </xdr:cNvPr>
        <xdr:cNvGrpSpPr/>
      </xdr:nvGrpSpPr>
      <xdr:grpSpPr>
        <a:xfrm>
          <a:off x="643463" y="423333"/>
          <a:ext cx="389467" cy="313266"/>
          <a:chOff x="448731" y="414867"/>
          <a:chExt cx="389467" cy="313266"/>
        </a:xfrm>
      </xdr:grpSpPr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1DF43398-D7DA-C5A4-26B5-02CADB86A915}"/>
              </a:ext>
            </a:extLst>
          </xdr:cNvPr>
          <xdr:cNvSpPr/>
        </xdr:nvSpPr>
        <xdr:spPr>
          <a:xfrm>
            <a:off x="448731" y="414867"/>
            <a:ext cx="389467" cy="296334"/>
          </a:xfrm>
          <a:prstGeom prst="ellipse">
            <a:avLst/>
          </a:prstGeom>
          <a:solidFill>
            <a:srgbClr val="1F4E7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10" name="Graphic 9" descr="Users with solid fill">
            <a:extLst>
              <a:ext uri="{FF2B5EF4-FFF2-40B4-BE49-F238E27FC236}">
                <a16:creationId xmlns:a16="http://schemas.microsoft.com/office/drawing/2014/main" id="{AFABC533-6334-0D57-6724-BD0EDAB948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482604" y="414868"/>
            <a:ext cx="313265" cy="31326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423333</xdr:colOff>
      <xdr:row>1</xdr:row>
      <xdr:rowOff>42332</xdr:rowOff>
    </xdr:from>
    <xdr:to>
      <xdr:col>5</xdr:col>
      <xdr:colOff>203200</xdr:colOff>
      <xdr:row>2</xdr:row>
      <xdr:rowOff>152399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102381DF-FA6B-10BF-2E92-5696E0C19F10}"/>
            </a:ext>
          </a:extLst>
        </xdr:cNvPr>
        <xdr:cNvGrpSpPr/>
      </xdr:nvGrpSpPr>
      <xdr:grpSpPr>
        <a:xfrm>
          <a:off x="2480733" y="423332"/>
          <a:ext cx="389467" cy="296334"/>
          <a:chOff x="2252133" y="423333"/>
          <a:chExt cx="389467" cy="296334"/>
        </a:xfrm>
      </xdr:grpSpPr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19F60CBC-2F37-4413-9A00-85D728E08254}"/>
              </a:ext>
            </a:extLst>
          </xdr:cNvPr>
          <xdr:cNvSpPr/>
        </xdr:nvSpPr>
        <xdr:spPr>
          <a:xfrm>
            <a:off x="2252133" y="423333"/>
            <a:ext cx="389467" cy="296334"/>
          </a:xfrm>
          <a:prstGeom prst="ellipse">
            <a:avLst/>
          </a:prstGeom>
          <a:solidFill>
            <a:srgbClr val="1F4E7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20" name="Graphic 19" descr="Bar graph with upward trend with solid fill">
            <a:extLst>
              <a:ext uri="{FF2B5EF4-FFF2-40B4-BE49-F238E27FC236}">
                <a16:creationId xmlns:a16="http://schemas.microsoft.com/office/drawing/2014/main" id="{50C25E7A-B84D-C204-6CC4-78B36CCC4D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2311398" y="431798"/>
            <a:ext cx="270935" cy="270935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364065</xdr:colOff>
      <xdr:row>1</xdr:row>
      <xdr:rowOff>33866</xdr:rowOff>
    </xdr:from>
    <xdr:to>
      <xdr:col>8</xdr:col>
      <xdr:colOff>143932</xdr:colOff>
      <xdr:row>2</xdr:row>
      <xdr:rowOff>143933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46A1547-90B0-CFA5-84E6-41F40EF946A7}"/>
            </a:ext>
          </a:extLst>
        </xdr:cNvPr>
        <xdr:cNvGrpSpPr/>
      </xdr:nvGrpSpPr>
      <xdr:grpSpPr>
        <a:xfrm>
          <a:off x="4250265" y="414866"/>
          <a:ext cx="389467" cy="296334"/>
          <a:chOff x="4030132" y="414866"/>
          <a:chExt cx="389467" cy="296334"/>
        </a:xfrm>
      </xdr:grpSpPr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FA878A0F-BE23-4009-B1FC-5A08A3F17D01}"/>
              </a:ext>
            </a:extLst>
          </xdr:cNvPr>
          <xdr:cNvSpPr/>
        </xdr:nvSpPr>
        <xdr:spPr>
          <a:xfrm>
            <a:off x="4030132" y="414866"/>
            <a:ext cx="389467" cy="296334"/>
          </a:xfrm>
          <a:prstGeom prst="ellipse">
            <a:avLst/>
          </a:prstGeom>
          <a:solidFill>
            <a:srgbClr val="1F4E7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12" name="Graphic 11" descr="Trophy with solid fill">
            <a:extLst>
              <a:ext uri="{FF2B5EF4-FFF2-40B4-BE49-F238E27FC236}">
                <a16:creationId xmlns:a16="http://schemas.microsoft.com/office/drawing/2014/main" id="{C92DD58F-F749-2474-7508-7894423C4F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4097868" y="431800"/>
            <a:ext cx="262465" cy="262465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423333</xdr:colOff>
      <xdr:row>1</xdr:row>
      <xdr:rowOff>16932</xdr:rowOff>
    </xdr:from>
    <xdr:to>
      <xdr:col>11</xdr:col>
      <xdr:colOff>203200</xdr:colOff>
      <xdr:row>2</xdr:row>
      <xdr:rowOff>143934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87D2D93-7049-43F9-62A2-E47186D84B07}"/>
            </a:ext>
          </a:extLst>
        </xdr:cNvPr>
        <xdr:cNvGrpSpPr/>
      </xdr:nvGrpSpPr>
      <xdr:grpSpPr>
        <a:xfrm>
          <a:off x="6138333" y="397932"/>
          <a:ext cx="389467" cy="313269"/>
          <a:chOff x="6129866" y="423332"/>
          <a:chExt cx="389467" cy="313269"/>
        </a:xfrm>
      </xdr:grpSpPr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3A5968E6-96FE-4795-A208-6C80A06DE46E}"/>
              </a:ext>
            </a:extLst>
          </xdr:cNvPr>
          <xdr:cNvSpPr/>
        </xdr:nvSpPr>
        <xdr:spPr>
          <a:xfrm>
            <a:off x="6129866" y="440267"/>
            <a:ext cx="389467" cy="296334"/>
          </a:xfrm>
          <a:prstGeom prst="ellipse">
            <a:avLst/>
          </a:prstGeom>
          <a:solidFill>
            <a:srgbClr val="1F4E7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24" name="Graphic 23" descr="Star with solid fill">
            <a:extLst>
              <a:ext uri="{FF2B5EF4-FFF2-40B4-BE49-F238E27FC236}">
                <a16:creationId xmlns:a16="http://schemas.microsoft.com/office/drawing/2014/main" id="{DAC5DBD4-5268-6EA5-3024-A27E09DB72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6172199" y="423332"/>
            <a:ext cx="304801" cy="304801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465666</xdr:colOff>
      <xdr:row>1</xdr:row>
      <xdr:rowOff>33868</xdr:rowOff>
    </xdr:from>
    <xdr:to>
      <xdr:col>14</xdr:col>
      <xdr:colOff>245533</xdr:colOff>
      <xdr:row>2</xdr:row>
      <xdr:rowOff>152399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3772A5AE-4B8B-4F6E-A692-50B4D1ECD1DC}"/>
            </a:ext>
          </a:extLst>
        </xdr:cNvPr>
        <xdr:cNvGrpSpPr/>
      </xdr:nvGrpSpPr>
      <xdr:grpSpPr>
        <a:xfrm>
          <a:off x="8009466" y="414868"/>
          <a:ext cx="389467" cy="304798"/>
          <a:chOff x="7975600" y="423335"/>
          <a:chExt cx="389467" cy="304798"/>
        </a:xfrm>
      </xdr:grpSpPr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4745F90E-7554-4E18-9245-CC251AC10FD7}"/>
              </a:ext>
            </a:extLst>
          </xdr:cNvPr>
          <xdr:cNvSpPr/>
        </xdr:nvSpPr>
        <xdr:spPr>
          <a:xfrm>
            <a:off x="7975600" y="431799"/>
            <a:ext cx="389467" cy="296334"/>
          </a:xfrm>
          <a:prstGeom prst="ellipse">
            <a:avLst/>
          </a:prstGeom>
          <a:solidFill>
            <a:srgbClr val="1F4E7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27" name="Graphic 26" descr="Downward trend graph with solid fill">
            <a:extLst>
              <a:ext uri="{FF2B5EF4-FFF2-40B4-BE49-F238E27FC236}">
                <a16:creationId xmlns:a16="http://schemas.microsoft.com/office/drawing/2014/main" id="{9F9F1E6E-D281-3AF7-D57B-E5324DA197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8043333" y="423335"/>
            <a:ext cx="279400" cy="27940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3.685139004629" createdVersion="8" refreshedVersion="8" minRefreshableVersion="3" recordCount="1129" xr:uid="{BC67E07C-9CCD-4A63-9352-D453BD7D4A24}">
  <cacheSource type="worksheet">
    <worksheetSource name="tbl_performance"/>
  </cacheSource>
  <cacheFields count="10">
    <cacheField name="employee_id" numFmtId="0">
      <sharedItems count="100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</sharedItems>
    </cacheField>
    <cacheField name="month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9"/>
    </cacheField>
    <cacheField name="target" numFmtId="0">
      <sharedItems containsSemiMixedTypes="0" containsString="0" containsNumber="1" containsInteger="1" minValue="11" maxValue="182019"/>
    </cacheField>
    <cacheField name="achieved" numFmtId="0">
      <sharedItems containsSemiMixedTypes="0" containsString="0" containsNumber="1" containsInteger="1" minValue="11" maxValue="227048"/>
    </cacheField>
    <cacheField name="employee_month_key" numFmtId="0">
      <sharedItems/>
    </cacheField>
    <cacheField name="key_count" numFmtId="0">
      <sharedItems containsSemiMixedTypes="0" containsString="0" containsNumber="1" containsInteger="1" minValue="1" maxValue="1"/>
    </cacheField>
    <cacheField name="performance_pct" numFmtId="10">
      <sharedItems containsSemiMixedTypes="0" containsString="0" containsNumber="1" minValue="0.47687587940857612" maxValue="1.3571428571428572"/>
    </cacheField>
    <cacheField name="performance_status" numFmtId="0">
      <sharedItems/>
    </cacheField>
    <cacheField name="Days (month)" numFmtId="0" databaseField="0">
      <fieldGroup base="1">
        <rangePr groupBy="days" startDate="2025-01-01T00:00:00" endDate="2025-12-02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12/2025"/>
        </groupItems>
      </fieldGroup>
    </cacheField>
    <cacheField name="Months (month)" numFmtId="0" databaseField="0">
      <fieldGroup base="1">
        <rangePr groupBy="months" startDate="2025-01-01T00:00:00" endDate="2025-12-02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3.685139930552" createdVersion="8" refreshedVersion="8" minRefreshableVersion="3" recordCount="100" xr:uid="{5851E00B-75B1-481D-8A17-9FD91C00274B}">
  <cacheSource type="worksheet">
    <worksheetSource name="tbl_employee_summary"/>
  </cacheSource>
  <cacheFields count="11">
    <cacheField name="employee_id" numFmtId="0">
      <sharedItems/>
    </cacheField>
    <cacheField name="name" numFmtId="0">
      <sharedItems/>
    </cacheField>
    <cacheField name="role" numFmtId="0">
      <sharedItems count="23">
        <s v="Marketing Manager"/>
        <s v="Marketing Executive"/>
        <s v="Sales Executive"/>
        <s v="Operations Manager"/>
        <s v="Accountant"/>
        <s v="Senior Support Associate"/>
        <s v="Senior Software Engineer"/>
        <s v="Support Team Lead"/>
        <s v="Sales Manager"/>
        <s v="Software Engineer"/>
        <s v="Operations Associate"/>
        <s v="HR Generalist"/>
        <s v="Financial Analyst"/>
        <s v="Support Associate"/>
        <s v="HR Executive"/>
        <s v="Operations Analyst"/>
        <s v="Finance Manager"/>
        <s v="QA Engineer"/>
        <s v="Engineering Manager"/>
        <s v="Senior Sales Executive"/>
        <s v="Content Specialist"/>
        <s v="DevOps Engineer"/>
        <s v="HR Manager"/>
      </sharedItems>
    </cacheField>
    <cacheField name="department" numFmtId="0">
      <sharedItems count="7">
        <s v="Marketing"/>
        <s v="Sales"/>
        <s v="Operations"/>
        <s v="Finance"/>
        <s v="Customer Support"/>
        <s v="Engineering"/>
        <s v="HR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45"/>
    </cacheField>
    <cacheField name="age_group" numFmtId="0">
      <sharedItems count="3">
        <s v="Mid Career"/>
        <s v="Early Career"/>
        <s v="Senior"/>
      </sharedItems>
    </cacheField>
    <cacheField name="avg_performance_pct" numFmtId="10">
      <sharedItems containsSemiMixedTypes="0" containsString="0" containsNumber="1" minValue="0.68567094578828114" maxValue="1.236086106230655"/>
    </cacheField>
    <cacheField name="total_months" numFmtId="0">
      <sharedItems containsSemiMixedTypes="0" containsString="0" containsNumber="1" containsInteger="1" minValue="3" maxValue="12"/>
    </cacheField>
    <cacheField name="performance_status" numFmtId="0">
      <sharedItems count="4">
        <s v="Average"/>
        <s v="Excellent"/>
        <s v="Poor"/>
        <s v="Good"/>
      </sharedItems>
    </cacheField>
    <cacheField name="employee_rank" numFmtId="0">
      <sharedItems containsSemiMixedTypes="0" containsString="0" containsNumber="1" containsInteger="1" minValue="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9">
  <r>
    <x v="0"/>
    <x v="0"/>
    <n v="353"/>
    <n v="299"/>
    <s v="EMP1001-01"/>
    <n v="1"/>
    <n v="0.84702549575070818"/>
    <s v="Poor"/>
  </r>
  <r>
    <x v="0"/>
    <x v="1"/>
    <n v="328"/>
    <n v="280"/>
    <s v="EMP1001-02"/>
    <n v="1"/>
    <n v="0.85365853658536583"/>
    <s v="Average"/>
  </r>
  <r>
    <x v="0"/>
    <x v="2"/>
    <n v="360"/>
    <n v="325"/>
    <s v="EMP1001-03"/>
    <n v="1"/>
    <n v="0.90277777777777779"/>
    <s v="Average"/>
  </r>
  <r>
    <x v="0"/>
    <x v="3"/>
    <n v="353"/>
    <n v="306"/>
    <s v="EMP1001-04"/>
    <n v="1"/>
    <n v="0.86685552407932009"/>
    <s v="Average"/>
  </r>
  <r>
    <x v="0"/>
    <x v="4"/>
    <n v="353"/>
    <n v="321"/>
    <s v="EMP1001-05"/>
    <n v="1"/>
    <n v="0.90934844192634556"/>
    <s v="Average"/>
  </r>
  <r>
    <x v="0"/>
    <x v="5"/>
    <n v="346"/>
    <n v="368"/>
    <s v="EMP1001-06"/>
    <n v="1"/>
    <n v="1.0635838150289016"/>
    <s v="Good"/>
  </r>
  <r>
    <x v="0"/>
    <x v="6"/>
    <n v="353"/>
    <n v="316"/>
    <s v="EMP1001-07"/>
    <n v="1"/>
    <n v="0.89518413597733715"/>
    <s v="Average"/>
  </r>
  <r>
    <x v="0"/>
    <x v="7"/>
    <n v="343"/>
    <n v="309"/>
    <s v="EMP1001-08"/>
    <n v="1"/>
    <n v="0.9008746355685131"/>
    <s v="Average"/>
  </r>
  <r>
    <x v="0"/>
    <x v="8"/>
    <n v="353"/>
    <n v="310"/>
    <s v="EMP1001-09"/>
    <n v="1"/>
    <n v="0.87818696883852687"/>
    <s v="Average"/>
  </r>
  <r>
    <x v="0"/>
    <x v="9"/>
    <n v="360"/>
    <n v="270"/>
    <s v="EMP1001-10"/>
    <n v="1"/>
    <n v="0.75"/>
    <s v="Poor"/>
  </r>
  <r>
    <x v="0"/>
    <x v="10"/>
    <n v="353"/>
    <n v="348"/>
    <s v="EMP1001-11"/>
    <n v="1"/>
    <n v="0.98583569405099147"/>
    <s v="Average"/>
  </r>
  <r>
    <x v="0"/>
    <x v="11"/>
    <n v="300"/>
    <n v="267"/>
    <s v="EMP1001-12"/>
    <n v="1"/>
    <n v="0.89"/>
    <s v="Average"/>
  </r>
  <r>
    <x v="1"/>
    <x v="0"/>
    <n v="83"/>
    <n v="98"/>
    <s v="EMP1002-01"/>
    <n v="1"/>
    <n v="1.1807228915662651"/>
    <s v="Excellent"/>
  </r>
  <r>
    <x v="1"/>
    <x v="1"/>
    <n v="77"/>
    <n v="93"/>
    <s v="EMP1002-02"/>
    <n v="1"/>
    <n v="1.2077922077922079"/>
    <s v="Excellent"/>
  </r>
  <r>
    <x v="1"/>
    <x v="2"/>
    <n v="85"/>
    <n v="108"/>
    <s v="EMP1002-03"/>
    <n v="1"/>
    <n v="1.2705882352941176"/>
    <s v="Excellent"/>
  </r>
  <r>
    <x v="1"/>
    <x v="3"/>
    <n v="83"/>
    <n v="92"/>
    <s v="EMP1002-04"/>
    <n v="1"/>
    <n v="1.1084337349397591"/>
    <s v="Excellent"/>
  </r>
  <r>
    <x v="1"/>
    <x v="4"/>
    <n v="83"/>
    <n v="106"/>
    <s v="EMP1002-05"/>
    <n v="1"/>
    <n v="1.2771084337349397"/>
    <s v="Excellent"/>
  </r>
  <r>
    <x v="1"/>
    <x v="5"/>
    <n v="81"/>
    <n v="105"/>
    <s v="EMP1002-06"/>
    <n v="1"/>
    <n v="1.2962962962962963"/>
    <s v="Excellent"/>
  </r>
  <r>
    <x v="1"/>
    <x v="6"/>
    <n v="83"/>
    <n v="104"/>
    <s v="EMP1002-07"/>
    <n v="1"/>
    <n v="1.2530120481927711"/>
    <s v="Excellent"/>
  </r>
  <r>
    <x v="1"/>
    <x v="7"/>
    <n v="80"/>
    <n v="91"/>
    <s v="EMP1002-08"/>
    <n v="1"/>
    <n v="1.1375"/>
    <s v="Excellent"/>
  </r>
  <r>
    <x v="1"/>
    <x v="8"/>
    <n v="83"/>
    <n v="108"/>
    <s v="EMP1002-09"/>
    <n v="1"/>
    <n v="1.3012048192771084"/>
    <s v="Excellent"/>
  </r>
  <r>
    <x v="1"/>
    <x v="9"/>
    <n v="85"/>
    <n v="94"/>
    <s v="EMP1002-10"/>
    <n v="1"/>
    <n v="1.1058823529411765"/>
    <s v="Excellent"/>
  </r>
  <r>
    <x v="1"/>
    <x v="10"/>
    <n v="83"/>
    <n v="111"/>
    <s v="EMP1002-11"/>
    <n v="1"/>
    <n v="1.3373493975903614"/>
    <s v="Excellent"/>
  </r>
  <r>
    <x v="1"/>
    <x v="11"/>
    <n v="70"/>
    <n v="95"/>
    <s v="EMP1002-12"/>
    <n v="1"/>
    <n v="1.3571428571428572"/>
    <s v="Excellent"/>
  </r>
  <r>
    <x v="2"/>
    <x v="0"/>
    <n v="46991"/>
    <n v="33356"/>
    <s v="EMP1003-01"/>
    <n v="1"/>
    <n v="0.70983805409546508"/>
    <s v="Poor"/>
  </r>
  <r>
    <x v="2"/>
    <x v="1"/>
    <n v="43702"/>
    <n v="34851"/>
    <s v="EMP1003-02"/>
    <n v="1"/>
    <n v="0.7974692233765045"/>
    <s v="Poor"/>
  </r>
  <r>
    <x v="2"/>
    <x v="2"/>
    <n v="47931"/>
    <n v="36814"/>
    <s v="EMP1003-03"/>
    <n v="1"/>
    <n v="0.76806242306649142"/>
    <s v="Poor"/>
  </r>
  <r>
    <x v="2"/>
    <x v="3"/>
    <n v="46991"/>
    <n v="31219"/>
    <s v="EMP1003-04"/>
    <n v="1"/>
    <n v="0.66436126066693624"/>
    <s v="Poor"/>
  </r>
  <r>
    <x v="2"/>
    <x v="4"/>
    <n v="46991"/>
    <n v="38875"/>
    <s v="EMP1003-05"/>
    <n v="1"/>
    <n v="0.82728607605711735"/>
    <s v="Poor"/>
  </r>
  <r>
    <x v="2"/>
    <x v="5"/>
    <n v="46052"/>
    <n v="32937"/>
    <s v="EMP1003-06"/>
    <n v="1"/>
    <n v="0.71521323721011032"/>
    <s v="Poor"/>
  </r>
  <r>
    <x v="2"/>
    <x v="6"/>
    <n v="46991"/>
    <n v="40872"/>
    <s v="EMP1003-07"/>
    <n v="1"/>
    <n v="0.86978357557830221"/>
    <s v="Average"/>
  </r>
  <r>
    <x v="2"/>
    <x v="7"/>
    <n v="45582"/>
    <n v="33343"/>
    <s v="EMP1003-08"/>
    <n v="1"/>
    <n v="0.73149488833311394"/>
    <s v="Poor"/>
  </r>
  <r>
    <x v="2"/>
    <x v="8"/>
    <n v="46991"/>
    <n v="46026"/>
    <s v="EMP1003-09"/>
    <n v="1"/>
    <n v="0.97946415271009346"/>
    <s v="Average"/>
  </r>
  <r>
    <x v="2"/>
    <x v="9"/>
    <n v="47931"/>
    <n v="35811"/>
    <s v="EMP1003-10"/>
    <n v="1"/>
    <n v="0.74713650873130122"/>
    <s v="Poor"/>
  </r>
  <r>
    <x v="2"/>
    <x v="10"/>
    <n v="46991"/>
    <n v="42022"/>
    <s v="EMP1003-11"/>
    <n v="1"/>
    <n v="0.89425634696005618"/>
    <s v="Average"/>
  </r>
  <r>
    <x v="2"/>
    <x v="11"/>
    <n v="39943"/>
    <n v="41893"/>
    <s v="EMP1003-12"/>
    <n v="1"/>
    <n v="1.0488195678842351"/>
    <s v="Good"/>
  </r>
  <r>
    <x v="3"/>
    <x v="0"/>
    <n v="849"/>
    <n v="721"/>
    <s v="EMP1004-01"/>
    <n v="1"/>
    <n v="0.84923439340400475"/>
    <s v="Poor"/>
  </r>
  <r>
    <x v="3"/>
    <x v="1"/>
    <n v="790"/>
    <n v="722"/>
    <s v="EMP1004-02"/>
    <n v="1"/>
    <n v="0.91392405063291138"/>
    <s v="Average"/>
  </r>
  <r>
    <x v="3"/>
    <x v="2"/>
    <n v="866"/>
    <n v="641"/>
    <s v="EMP1004-03"/>
    <n v="1"/>
    <n v="0.74018475750577373"/>
    <s v="Poor"/>
  </r>
  <r>
    <x v="3"/>
    <x v="3"/>
    <n v="849"/>
    <n v="721"/>
    <s v="EMP1004-04"/>
    <n v="1"/>
    <n v="0.84923439340400475"/>
    <s v="Poor"/>
  </r>
  <r>
    <x v="3"/>
    <x v="4"/>
    <n v="849"/>
    <n v="726"/>
    <s v="EMP1004-05"/>
    <n v="1"/>
    <n v="0.85512367491166075"/>
    <s v="Average"/>
  </r>
  <r>
    <x v="3"/>
    <x v="5"/>
    <n v="832"/>
    <n v="738"/>
    <s v="EMP1004-06"/>
    <n v="1"/>
    <n v="0.88701923076923073"/>
    <s v="Average"/>
  </r>
  <r>
    <x v="3"/>
    <x v="6"/>
    <n v="849"/>
    <n v="566"/>
    <s v="EMP1004-07"/>
    <n v="1"/>
    <n v="0.66666666666666663"/>
    <s v="Poor"/>
  </r>
  <r>
    <x v="3"/>
    <x v="7"/>
    <n v="824"/>
    <n v="563"/>
    <s v="EMP1004-08"/>
    <n v="1"/>
    <n v="0.68325242718446599"/>
    <s v="Poor"/>
  </r>
  <r>
    <x v="3"/>
    <x v="8"/>
    <n v="849"/>
    <n v="742"/>
    <s v="EMP1004-09"/>
    <n v="1"/>
    <n v="0.87396937573616018"/>
    <s v="Average"/>
  </r>
  <r>
    <x v="3"/>
    <x v="9"/>
    <n v="866"/>
    <n v="746"/>
    <s v="EMP1004-10"/>
    <n v="1"/>
    <n v="0.86143187066974591"/>
    <s v="Average"/>
  </r>
  <r>
    <x v="3"/>
    <x v="10"/>
    <n v="849"/>
    <n v="773"/>
    <s v="EMP1004-11"/>
    <n v="1"/>
    <n v="0.91048292108362783"/>
    <s v="Average"/>
  </r>
  <r>
    <x v="3"/>
    <x v="11"/>
    <n v="722"/>
    <n v="655"/>
    <s v="EMP1004-12"/>
    <n v="1"/>
    <n v="0.90720221606648199"/>
    <s v="Average"/>
  </r>
  <r>
    <x v="4"/>
    <x v="0"/>
    <n v="114"/>
    <n v="104"/>
    <s v="EMP1005-01"/>
    <n v="1"/>
    <n v="0.91228070175438591"/>
    <s v="Average"/>
  </r>
  <r>
    <x v="4"/>
    <x v="1"/>
    <n v="106"/>
    <n v="97"/>
    <s v="EMP1005-02"/>
    <n v="1"/>
    <n v="0.91509433962264153"/>
    <s v="Average"/>
  </r>
  <r>
    <x v="4"/>
    <x v="2"/>
    <n v="116"/>
    <n v="108"/>
    <s v="EMP1005-03"/>
    <n v="1"/>
    <n v="0.93103448275862066"/>
    <s v="Average"/>
  </r>
  <r>
    <x v="4"/>
    <x v="3"/>
    <n v="114"/>
    <n v="117"/>
    <s v="EMP1005-04"/>
    <n v="1"/>
    <n v="1.0263157894736843"/>
    <s v="Good"/>
  </r>
  <r>
    <x v="4"/>
    <x v="4"/>
    <n v="114"/>
    <n v="106"/>
    <s v="EMP1005-05"/>
    <n v="1"/>
    <n v="0.92982456140350878"/>
    <s v="Average"/>
  </r>
  <r>
    <x v="4"/>
    <x v="5"/>
    <n v="112"/>
    <n v="97"/>
    <s v="EMP1005-06"/>
    <n v="1"/>
    <n v="0.8660714285714286"/>
    <s v="Average"/>
  </r>
  <r>
    <x v="4"/>
    <x v="6"/>
    <n v="114"/>
    <n v="108"/>
    <s v="EMP1005-07"/>
    <n v="1"/>
    <n v="0.94736842105263153"/>
    <s v="Average"/>
  </r>
  <r>
    <x v="4"/>
    <x v="7"/>
    <n v="111"/>
    <n v="93"/>
    <s v="EMP1005-08"/>
    <n v="1"/>
    <n v="0.83783783783783783"/>
    <s v="Poor"/>
  </r>
  <r>
    <x v="4"/>
    <x v="8"/>
    <n v="114"/>
    <n v="109"/>
    <s v="EMP1005-09"/>
    <n v="1"/>
    <n v="0.95614035087719296"/>
    <s v="Average"/>
  </r>
  <r>
    <x v="4"/>
    <x v="9"/>
    <n v="116"/>
    <n v="114"/>
    <s v="EMP1005-10"/>
    <n v="1"/>
    <n v="0.98275862068965514"/>
    <s v="Average"/>
  </r>
  <r>
    <x v="4"/>
    <x v="10"/>
    <n v="114"/>
    <n v="108"/>
    <s v="EMP1005-11"/>
    <n v="1"/>
    <n v="0.94736842105263153"/>
    <s v="Average"/>
  </r>
  <r>
    <x v="4"/>
    <x v="11"/>
    <n v="97"/>
    <n v="95"/>
    <s v="EMP1005-12"/>
    <n v="1"/>
    <n v="0.97938144329896903"/>
    <s v="Average"/>
  </r>
  <r>
    <x v="5"/>
    <x v="0"/>
    <n v="21"/>
    <n v="22"/>
    <s v="EMP1006-01"/>
    <n v="1"/>
    <n v="1.0476190476190477"/>
    <s v="Good"/>
  </r>
  <r>
    <x v="5"/>
    <x v="1"/>
    <n v="19"/>
    <n v="21"/>
    <s v="EMP1006-02"/>
    <n v="1"/>
    <n v="1.1052631578947369"/>
    <s v="Excellent"/>
  </r>
  <r>
    <x v="5"/>
    <x v="2"/>
    <n v="21"/>
    <n v="21"/>
    <s v="EMP1006-03"/>
    <n v="1"/>
    <n v="1"/>
    <s v="Good"/>
  </r>
  <r>
    <x v="5"/>
    <x v="3"/>
    <n v="21"/>
    <n v="21"/>
    <s v="EMP1006-04"/>
    <n v="1"/>
    <n v="1"/>
    <s v="Good"/>
  </r>
  <r>
    <x v="5"/>
    <x v="4"/>
    <n v="21"/>
    <n v="21"/>
    <s v="EMP1006-05"/>
    <n v="1"/>
    <n v="1"/>
    <s v="Good"/>
  </r>
  <r>
    <x v="5"/>
    <x v="5"/>
    <n v="20"/>
    <n v="19"/>
    <s v="EMP1006-06"/>
    <n v="1"/>
    <n v="0.95"/>
    <s v="Average"/>
  </r>
  <r>
    <x v="5"/>
    <x v="6"/>
    <n v="21"/>
    <n v="22"/>
    <s v="EMP1006-07"/>
    <n v="1"/>
    <n v="1.0476190476190477"/>
    <s v="Good"/>
  </r>
  <r>
    <x v="5"/>
    <x v="7"/>
    <n v="20"/>
    <n v="21"/>
    <s v="EMP1006-08"/>
    <n v="1"/>
    <n v="1.05"/>
    <s v="Good"/>
  </r>
  <r>
    <x v="5"/>
    <x v="8"/>
    <n v="21"/>
    <n v="21"/>
    <s v="EMP1006-09"/>
    <n v="1"/>
    <n v="1"/>
    <s v="Good"/>
  </r>
  <r>
    <x v="5"/>
    <x v="9"/>
    <n v="21"/>
    <n v="22"/>
    <s v="EMP1006-10"/>
    <n v="1"/>
    <n v="1.0476190476190477"/>
    <s v="Good"/>
  </r>
  <r>
    <x v="5"/>
    <x v="10"/>
    <n v="21"/>
    <n v="22"/>
    <s v="EMP1006-11"/>
    <n v="1"/>
    <n v="1.0476190476190477"/>
    <s v="Good"/>
  </r>
  <r>
    <x v="5"/>
    <x v="11"/>
    <n v="17"/>
    <n v="17"/>
    <s v="EMP1006-12"/>
    <n v="1"/>
    <n v="1"/>
    <s v="Good"/>
  </r>
  <r>
    <x v="6"/>
    <x v="2"/>
    <n v="246"/>
    <n v="237"/>
    <s v="EMP1007-03"/>
    <n v="1"/>
    <n v="0.96341463414634143"/>
    <s v="Average"/>
  </r>
  <r>
    <x v="6"/>
    <x v="3"/>
    <n v="241"/>
    <n v="204"/>
    <s v="EMP1007-04"/>
    <n v="1"/>
    <n v="0.84647302904564314"/>
    <s v="Poor"/>
  </r>
  <r>
    <x v="6"/>
    <x v="4"/>
    <n v="241"/>
    <n v="185"/>
    <s v="EMP1007-05"/>
    <n v="1"/>
    <n v="0.76763485477178428"/>
    <s v="Poor"/>
  </r>
  <r>
    <x v="6"/>
    <x v="5"/>
    <n v="237"/>
    <n v="179"/>
    <s v="EMP1007-06"/>
    <n v="1"/>
    <n v="0.75527426160337552"/>
    <s v="Poor"/>
  </r>
  <r>
    <x v="6"/>
    <x v="6"/>
    <n v="241"/>
    <n v="203"/>
    <s v="EMP1007-07"/>
    <n v="1"/>
    <n v="0.84232365145228216"/>
    <s v="Poor"/>
  </r>
  <r>
    <x v="6"/>
    <x v="7"/>
    <n v="234"/>
    <n v="153"/>
    <s v="EMP1007-08"/>
    <n v="1"/>
    <n v="0.65384615384615385"/>
    <s v="Poor"/>
  </r>
  <r>
    <x v="6"/>
    <x v="8"/>
    <n v="241"/>
    <n v="195"/>
    <s v="EMP1007-09"/>
    <n v="1"/>
    <n v="0.8091286307053942"/>
    <s v="Poor"/>
  </r>
  <r>
    <x v="6"/>
    <x v="9"/>
    <n v="246"/>
    <n v="208"/>
    <s v="EMP1007-10"/>
    <n v="1"/>
    <n v="0.84552845528455289"/>
    <s v="Poor"/>
  </r>
  <r>
    <x v="6"/>
    <x v="10"/>
    <n v="241"/>
    <n v="197"/>
    <s v="EMP1007-11"/>
    <n v="1"/>
    <n v="0.81742738589211617"/>
    <s v="Poor"/>
  </r>
  <r>
    <x v="6"/>
    <x v="11"/>
    <n v="205"/>
    <n v="144"/>
    <s v="EMP1007-12"/>
    <n v="1"/>
    <n v="0.70243902439024386"/>
    <s v="Poor"/>
  </r>
  <r>
    <x v="7"/>
    <x v="0"/>
    <n v="39"/>
    <n v="37"/>
    <s v="EMP1008-01"/>
    <n v="1"/>
    <n v="0.94871794871794868"/>
    <s v="Average"/>
  </r>
  <r>
    <x v="7"/>
    <x v="1"/>
    <n v="36"/>
    <n v="36"/>
    <s v="EMP1008-02"/>
    <n v="1"/>
    <n v="1"/>
    <s v="Good"/>
  </r>
  <r>
    <x v="7"/>
    <x v="2"/>
    <n v="40"/>
    <n v="39"/>
    <s v="EMP1008-03"/>
    <n v="1"/>
    <n v="0.97499999999999998"/>
    <s v="Average"/>
  </r>
  <r>
    <x v="7"/>
    <x v="3"/>
    <n v="39"/>
    <n v="36"/>
    <s v="EMP1008-04"/>
    <n v="1"/>
    <n v="0.92307692307692313"/>
    <s v="Average"/>
  </r>
  <r>
    <x v="7"/>
    <x v="4"/>
    <n v="39"/>
    <n v="38"/>
    <s v="EMP1008-05"/>
    <n v="1"/>
    <n v="0.97435897435897434"/>
    <s v="Average"/>
  </r>
  <r>
    <x v="7"/>
    <x v="5"/>
    <n v="38"/>
    <n v="38"/>
    <s v="EMP1008-06"/>
    <n v="1"/>
    <n v="1"/>
    <s v="Good"/>
  </r>
  <r>
    <x v="7"/>
    <x v="6"/>
    <n v="39"/>
    <n v="37"/>
    <s v="EMP1008-07"/>
    <n v="1"/>
    <n v="0.94871794871794868"/>
    <s v="Average"/>
  </r>
  <r>
    <x v="7"/>
    <x v="7"/>
    <n v="38"/>
    <n v="36"/>
    <s v="EMP1008-08"/>
    <n v="1"/>
    <n v="0.94736842105263153"/>
    <s v="Average"/>
  </r>
  <r>
    <x v="7"/>
    <x v="8"/>
    <n v="39"/>
    <n v="38"/>
    <s v="EMP1008-09"/>
    <n v="1"/>
    <n v="0.97435897435897434"/>
    <s v="Average"/>
  </r>
  <r>
    <x v="7"/>
    <x v="9"/>
    <n v="40"/>
    <n v="38"/>
    <s v="EMP1008-10"/>
    <n v="1"/>
    <n v="0.95"/>
    <s v="Average"/>
  </r>
  <r>
    <x v="7"/>
    <x v="10"/>
    <n v="39"/>
    <n v="39"/>
    <s v="EMP1008-11"/>
    <n v="1"/>
    <n v="1"/>
    <s v="Good"/>
  </r>
  <r>
    <x v="7"/>
    <x v="11"/>
    <n v="33"/>
    <n v="31"/>
    <s v="EMP1008-12"/>
    <n v="1"/>
    <n v="0.93939393939393945"/>
    <s v="Average"/>
  </r>
  <r>
    <x v="8"/>
    <x v="0"/>
    <n v="648"/>
    <n v="674"/>
    <s v="EMP1009-01"/>
    <n v="1"/>
    <n v="1.0401234567901234"/>
    <s v="Good"/>
  </r>
  <r>
    <x v="8"/>
    <x v="1"/>
    <n v="603"/>
    <n v="546"/>
    <s v="EMP1009-02"/>
    <n v="1"/>
    <n v="0.90547263681592038"/>
    <s v="Average"/>
  </r>
  <r>
    <x v="8"/>
    <x v="2"/>
    <n v="661"/>
    <n v="615"/>
    <s v="EMP1009-03"/>
    <n v="1"/>
    <n v="0.93040847201210286"/>
    <s v="Average"/>
  </r>
  <r>
    <x v="8"/>
    <x v="3"/>
    <n v="648"/>
    <n v="654"/>
    <s v="EMP1009-04"/>
    <n v="1"/>
    <n v="1.0092592592592593"/>
    <s v="Good"/>
  </r>
  <r>
    <x v="8"/>
    <x v="4"/>
    <n v="648"/>
    <n v="654"/>
    <s v="EMP1009-05"/>
    <n v="1"/>
    <n v="1.0092592592592593"/>
    <s v="Good"/>
  </r>
  <r>
    <x v="8"/>
    <x v="5"/>
    <n v="635"/>
    <n v="641"/>
    <s v="EMP1009-06"/>
    <n v="1"/>
    <n v="1.0094488188976378"/>
    <s v="Good"/>
  </r>
  <r>
    <x v="8"/>
    <x v="6"/>
    <n v="648"/>
    <n v="773"/>
    <s v="EMP1009-07"/>
    <n v="1"/>
    <n v="1.1929012345679013"/>
    <s v="Excellent"/>
  </r>
  <r>
    <x v="8"/>
    <x v="7"/>
    <n v="629"/>
    <n v="543"/>
    <s v="EMP1009-08"/>
    <n v="1"/>
    <n v="0.86327503974562803"/>
    <s v="Average"/>
  </r>
  <r>
    <x v="8"/>
    <x v="8"/>
    <n v="648"/>
    <n v="644"/>
    <s v="EMP1009-09"/>
    <n v="1"/>
    <n v="0.99382716049382713"/>
    <s v="Average"/>
  </r>
  <r>
    <x v="8"/>
    <x v="9"/>
    <n v="661"/>
    <n v="683"/>
    <s v="EMP1009-10"/>
    <n v="1"/>
    <n v="1.0332829046898639"/>
    <s v="Good"/>
  </r>
  <r>
    <x v="8"/>
    <x v="10"/>
    <n v="648"/>
    <n v="659"/>
    <s v="EMP1009-11"/>
    <n v="1"/>
    <n v="1.0169753086419753"/>
    <s v="Good"/>
  </r>
  <r>
    <x v="8"/>
    <x v="11"/>
    <n v="551"/>
    <n v="493"/>
    <s v="EMP1009-12"/>
    <n v="1"/>
    <n v="0.89473684210526316"/>
    <s v="Average"/>
  </r>
  <r>
    <x v="9"/>
    <x v="0"/>
    <n v="178450"/>
    <n v="162325"/>
    <s v="EMP1010-01"/>
    <n v="1"/>
    <n v="0.90963855421686746"/>
    <s v="Average"/>
  </r>
  <r>
    <x v="9"/>
    <x v="1"/>
    <n v="165958"/>
    <n v="163346"/>
    <s v="EMP1010-02"/>
    <n v="1"/>
    <n v="0.98426107810409857"/>
    <s v="Average"/>
  </r>
  <r>
    <x v="9"/>
    <x v="2"/>
    <n v="182019"/>
    <n v="180258"/>
    <s v="EMP1010-03"/>
    <n v="1"/>
    <n v="0.99032518583224827"/>
    <s v="Average"/>
  </r>
  <r>
    <x v="9"/>
    <x v="3"/>
    <n v="178450"/>
    <n v="187028"/>
    <s v="EMP1010-04"/>
    <n v="1"/>
    <n v="1.048069487251331"/>
    <s v="Good"/>
  </r>
  <r>
    <x v="9"/>
    <x v="4"/>
    <n v="178450"/>
    <n v="227048"/>
    <s v="EMP1010-05"/>
    <n v="1"/>
    <n v="1.2723339871112356"/>
    <s v="Excellent"/>
  </r>
  <r>
    <x v="9"/>
    <x v="5"/>
    <n v="174881"/>
    <n v="149551"/>
    <s v="EMP1010-06"/>
    <n v="1"/>
    <n v="0.85515865073964581"/>
    <s v="Average"/>
  </r>
  <r>
    <x v="9"/>
    <x v="6"/>
    <n v="178450"/>
    <n v="198347"/>
    <s v="EMP1010-07"/>
    <n v="1"/>
    <n v="1.1114990193331464"/>
    <s v="Excellent"/>
  </r>
  <r>
    <x v="9"/>
    <x v="7"/>
    <n v="173096"/>
    <n v="152778"/>
    <s v="EMP1010-08"/>
    <n v="1"/>
    <n v="0.88262004899015578"/>
    <s v="Average"/>
  </r>
  <r>
    <x v="9"/>
    <x v="8"/>
    <n v="178450"/>
    <n v="178043"/>
    <s v="EMP1010-09"/>
    <n v="1"/>
    <n v="0.99771924908938081"/>
    <s v="Average"/>
  </r>
  <r>
    <x v="9"/>
    <x v="9"/>
    <n v="182019"/>
    <n v="210194"/>
    <s v="EMP1010-10"/>
    <n v="1"/>
    <n v="1.1547915327520752"/>
    <s v="Excellent"/>
  </r>
  <r>
    <x v="9"/>
    <x v="10"/>
    <n v="178450"/>
    <n v="205814"/>
    <s v="EMP1010-11"/>
    <n v="1"/>
    <n v="1.1533426730176519"/>
    <s v="Excellent"/>
  </r>
  <r>
    <x v="9"/>
    <x v="11"/>
    <n v="151682"/>
    <n v="163836"/>
    <s v="EMP1010-12"/>
    <n v="1"/>
    <n v="1.0801281628670507"/>
    <s v="Good"/>
  </r>
  <r>
    <x v="10"/>
    <x v="0"/>
    <n v="98"/>
    <n v="97"/>
    <s v="EMP1011-01"/>
    <n v="1"/>
    <n v="0.98979591836734693"/>
    <s v="Average"/>
  </r>
  <r>
    <x v="10"/>
    <x v="1"/>
    <n v="91"/>
    <n v="81"/>
    <s v="EMP1011-02"/>
    <n v="1"/>
    <n v="0.89010989010989006"/>
    <s v="Average"/>
  </r>
  <r>
    <x v="10"/>
    <x v="2"/>
    <n v="100"/>
    <n v="104"/>
    <s v="EMP1011-03"/>
    <n v="1"/>
    <n v="1.04"/>
    <s v="Good"/>
  </r>
  <r>
    <x v="10"/>
    <x v="3"/>
    <n v="98"/>
    <n v="92"/>
    <s v="EMP1011-04"/>
    <n v="1"/>
    <n v="0.93877551020408168"/>
    <s v="Average"/>
  </r>
  <r>
    <x v="10"/>
    <x v="4"/>
    <n v="98"/>
    <n v="88"/>
    <s v="EMP1011-05"/>
    <n v="1"/>
    <n v="0.89795918367346939"/>
    <s v="Average"/>
  </r>
  <r>
    <x v="10"/>
    <x v="5"/>
    <n v="96"/>
    <n v="109"/>
    <s v="EMP1011-06"/>
    <n v="1"/>
    <n v="1.1354166666666667"/>
    <s v="Excellent"/>
  </r>
  <r>
    <x v="10"/>
    <x v="6"/>
    <n v="98"/>
    <n v="96"/>
    <s v="EMP1011-07"/>
    <n v="1"/>
    <n v="0.97959183673469385"/>
    <s v="Average"/>
  </r>
  <r>
    <x v="10"/>
    <x v="7"/>
    <n v="95"/>
    <n v="76"/>
    <s v="EMP1011-08"/>
    <n v="1"/>
    <n v="0.8"/>
    <s v="Poor"/>
  </r>
  <r>
    <x v="10"/>
    <x v="8"/>
    <n v="98"/>
    <n v="93"/>
    <s v="EMP1011-09"/>
    <n v="1"/>
    <n v="0.94897959183673475"/>
    <s v="Average"/>
  </r>
  <r>
    <x v="10"/>
    <x v="9"/>
    <n v="100"/>
    <n v="89"/>
    <s v="EMP1011-10"/>
    <n v="1"/>
    <n v="0.89"/>
    <s v="Average"/>
  </r>
  <r>
    <x v="10"/>
    <x v="10"/>
    <n v="98"/>
    <n v="108"/>
    <s v="EMP1011-11"/>
    <n v="1"/>
    <n v="1.1020408163265305"/>
    <s v="Excellent"/>
  </r>
  <r>
    <x v="10"/>
    <x v="11"/>
    <n v="83"/>
    <n v="73"/>
    <s v="EMP1011-12"/>
    <n v="1"/>
    <n v="0.87951807228915657"/>
    <s v="Average"/>
  </r>
  <r>
    <x v="11"/>
    <x v="0"/>
    <n v="166823"/>
    <n v="161273"/>
    <s v="EMP1012-01"/>
    <n v="1"/>
    <n v="0.96673120612865138"/>
    <s v="Average"/>
  </r>
  <r>
    <x v="11"/>
    <x v="1"/>
    <n v="155145"/>
    <n v="158683"/>
    <s v="EMP1012-02"/>
    <n v="1"/>
    <n v="1.0228044732347159"/>
    <s v="Good"/>
  </r>
  <r>
    <x v="11"/>
    <x v="2"/>
    <n v="170159"/>
    <n v="143989"/>
    <s v="EMP1012-03"/>
    <n v="1"/>
    <n v="0.84620266926815513"/>
    <s v="Poor"/>
  </r>
  <r>
    <x v="11"/>
    <x v="3"/>
    <n v="166823"/>
    <n v="155609"/>
    <s v="EMP1012-04"/>
    <n v="1"/>
    <n v="0.93277905324805332"/>
    <s v="Average"/>
  </r>
  <r>
    <x v="11"/>
    <x v="4"/>
    <n v="166823"/>
    <n v="153266"/>
    <s v="EMP1012-05"/>
    <n v="1"/>
    <n v="0.91873422729479748"/>
    <s v="Average"/>
  </r>
  <r>
    <x v="11"/>
    <x v="5"/>
    <n v="163486"/>
    <n v="147284"/>
    <s v="EMP1012-06"/>
    <n v="1"/>
    <n v="0.90089671286838013"/>
    <s v="Average"/>
  </r>
  <r>
    <x v="11"/>
    <x v="6"/>
    <n v="166823"/>
    <n v="190641"/>
    <s v="EMP1012-07"/>
    <n v="1"/>
    <n v="1.1427740779149158"/>
    <s v="Excellent"/>
  </r>
  <r>
    <x v="11"/>
    <x v="7"/>
    <n v="161818"/>
    <n v="162907"/>
    <s v="EMP1012-08"/>
    <n v="1"/>
    <n v="1.0067297828424526"/>
    <s v="Good"/>
  </r>
  <r>
    <x v="11"/>
    <x v="8"/>
    <n v="166823"/>
    <n v="140155"/>
    <s v="EMP1012-09"/>
    <n v="1"/>
    <n v="0.84014194685385113"/>
    <s v="Poor"/>
  </r>
  <r>
    <x v="11"/>
    <x v="9"/>
    <n v="170159"/>
    <n v="180031"/>
    <s v="EMP1012-10"/>
    <n v="1"/>
    <n v="1.0580163259069459"/>
    <s v="Good"/>
  </r>
  <r>
    <x v="11"/>
    <x v="10"/>
    <n v="166823"/>
    <n v="213274"/>
    <s v="EMP1012-11"/>
    <n v="1"/>
    <n v="1.278444818760003"/>
    <s v="Excellent"/>
  </r>
  <r>
    <x v="11"/>
    <x v="11"/>
    <n v="141799"/>
    <n v="171503"/>
    <s v="EMP1012-12"/>
    <n v="1"/>
    <n v="1.2094796155120981"/>
    <s v="Excellent"/>
  </r>
  <r>
    <x v="12"/>
    <x v="0"/>
    <n v="32"/>
    <n v="31"/>
    <s v="EMP1013-01"/>
    <n v="1"/>
    <n v="0.96875"/>
    <s v="Average"/>
  </r>
  <r>
    <x v="12"/>
    <x v="1"/>
    <n v="30"/>
    <n v="31"/>
    <s v="EMP1013-02"/>
    <n v="1"/>
    <n v="1.0333333333333334"/>
    <s v="Good"/>
  </r>
  <r>
    <x v="12"/>
    <x v="2"/>
    <n v="33"/>
    <n v="31"/>
    <s v="EMP1013-03"/>
    <n v="1"/>
    <n v="0.93939393939393945"/>
    <s v="Average"/>
  </r>
  <r>
    <x v="12"/>
    <x v="3"/>
    <n v="32"/>
    <n v="32"/>
    <s v="EMP1013-04"/>
    <n v="1"/>
    <n v="1"/>
    <s v="Good"/>
  </r>
  <r>
    <x v="12"/>
    <x v="4"/>
    <n v="32"/>
    <n v="32"/>
    <s v="EMP1013-05"/>
    <n v="1"/>
    <n v="1"/>
    <s v="Good"/>
  </r>
  <r>
    <x v="12"/>
    <x v="5"/>
    <n v="31"/>
    <n v="29"/>
    <s v="EMP1013-06"/>
    <n v="1"/>
    <n v="0.93548387096774188"/>
    <s v="Average"/>
  </r>
  <r>
    <x v="12"/>
    <x v="6"/>
    <n v="32"/>
    <n v="31"/>
    <s v="EMP1013-07"/>
    <n v="1"/>
    <n v="0.96875"/>
    <s v="Average"/>
  </r>
  <r>
    <x v="12"/>
    <x v="7"/>
    <n v="31"/>
    <n v="26"/>
    <s v="EMP1013-08"/>
    <n v="1"/>
    <n v="0.83870967741935487"/>
    <s v="Poor"/>
  </r>
  <r>
    <x v="12"/>
    <x v="8"/>
    <n v="32"/>
    <n v="30"/>
    <s v="EMP1013-09"/>
    <n v="1"/>
    <n v="0.9375"/>
    <s v="Average"/>
  </r>
  <r>
    <x v="12"/>
    <x v="9"/>
    <n v="33"/>
    <n v="32"/>
    <s v="EMP1013-10"/>
    <n v="1"/>
    <n v="0.96969696969696972"/>
    <s v="Average"/>
  </r>
  <r>
    <x v="12"/>
    <x v="10"/>
    <n v="32"/>
    <n v="30"/>
    <s v="EMP1013-11"/>
    <n v="1"/>
    <n v="0.9375"/>
    <s v="Average"/>
  </r>
  <r>
    <x v="12"/>
    <x v="11"/>
    <n v="27"/>
    <n v="27"/>
    <s v="EMP1013-12"/>
    <n v="1"/>
    <n v="1"/>
    <s v="Good"/>
  </r>
  <r>
    <x v="13"/>
    <x v="0"/>
    <n v="57796"/>
    <n v="39554"/>
    <s v="EMP1014-01"/>
    <n v="1"/>
    <n v="0.68437262094262574"/>
    <s v="Poor"/>
  </r>
  <r>
    <x v="13"/>
    <x v="1"/>
    <n v="53750"/>
    <n v="40928"/>
    <s v="EMP1014-02"/>
    <n v="1"/>
    <n v="0.76145116279069769"/>
    <s v="Poor"/>
  </r>
  <r>
    <x v="13"/>
    <x v="2"/>
    <n v="58952"/>
    <n v="54384"/>
    <s v="EMP1014-03"/>
    <n v="1"/>
    <n v="0.92251323110327044"/>
    <s v="Average"/>
  </r>
  <r>
    <x v="13"/>
    <x v="3"/>
    <n v="57796"/>
    <n v="36689"/>
    <s v="EMP1014-04"/>
    <n v="1"/>
    <n v="0.63480171638175653"/>
    <s v="Poor"/>
  </r>
  <r>
    <x v="13"/>
    <x v="4"/>
    <n v="57796"/>
    <n v="51710"/>
    <s v="EMP1014-05"/>
    <n v="1"/>
    <n v="0.89469859505848159"/>
    <s v="Average"/>
  </r>
  <r>
    <x v="13"/>
    <x v="5"/>
    <n v="56640"/>
    <n v="44146"/>
    <s v="EMP1014-06"/>
    <n v="1"/>
    <n v="0.77941384180790962"/>
    <s v="Poor"/>
  </r>
  <r>
    <x v="13"/>
    <x v="6"/>
    <n v="57796"/>
    <n v="39315"/>
    <s v="EMP1014-07"/>
    <n v="1"/>
    <n v="0.68023738667035782"/>
    <s v="Poor"/>
  </r>
  <r>
    <x v="13"/>
    <x v="7"/>
    <n v="56062"/>
    <n v="46228"/>
    <s v="EMP1014-08"/>
    <n v="1"/>
    <n v="0.82458706432164386"/>
    <s v="Poor"/>
  </r>
  <r>
    <x v="13"/>
    <x v="8"/>
    <n v="57796"/>
    <n v="46138"/>
    <s v="EMP1014-09"/>
    <n v="1"/>
    <n v="0.79829053913765657"/>
    <s v="Poor"/>
  </r>
  <r>
    <x v="13"/>
    <x v="9"/>
    <n v="58952"/>
    <n v="42349"/>
    <s v="EMP1014-10"/>
    <n v="1"/>
    <n v="0.71836409282127833"/>
    <s v="Poor"/>
  </r>
  <r>
    <x v="13"/>
    <x v="10"/>
    <n v="57796"/>
    <n v="51170"/>
    <s v="EMP1014-11"/>
    <n v="1"/>
    <n v="0.88535538791611879"/>
    <s v="Average"/>
  </r>
  <r>
    <x v="13"/>
    <x v="11"/>
    <n v="49127"/>
    <n v="43224"/>
    <s v="EMP1014-12"/>
    <n v="1"/>
    <n v="0.87984204205426753"/>
    <s v="Average"/>
  </r>
  <r>
    <x v="14"/>
    <x v="0"/>
    <n v="51204"/>
    <n v="50171"/>
    <s v="EMP1015-01"/>
    <n v="1"/>
    <n v="0.97982579485977661"/>
    <s v="Average"/>
  </r>
  <r>
    <x v="14"/>
    <x v="1"/>
    <n v="47620"/>
    <n v="52012"/>
    <s v="EMP1015-02"/>
    <n v="1"/>
    <n v="1.0922301553968921"/>
    <s v="Good"/>
  </r>
  <r>
    <x v="14"/>
    <x v="2"/>
    <n v="52228"/>
    <n v="43863"/>
    <s v="EMP1015-03"/>
    <n v="1"/>
    <n v="0.83983686911235356"/>
    <s v="Poor"/>
  </r>
  <r>
    <x v="14"/>
    <x v="3"/>
    <n v="51204"/>
    <n v="60263"/>
    <s v="EMP1015-04"/>
    <n v="1"/>
    <n v="1.1769197718928208"/>
    <s v="Excellent"/>
  </r>
  <r>
    <x v="14"/>
    <x v="4"/>
    <n v="51204"/>
    <n v="39346"/>
    <s v="EMP1015-05"/>
    <n v="1"/>
    <n v="0.76841652995859699"/>
    <s v="Poor"/>
  </r>
  <r>
    <x v="14"/>
    <x v="5"/>
    <n v="50180"/>
    <n v="47593"/>
    <s v="EMP1015-06"/>
    <n v="1"/>
    <n v="0.94844559585492227"/>
    <s v="Average"/>
  </r>
  <r>
    <x v="14"/>
    <x v="6"/>
    <n v="51204"/>
    <n v="52354"/>
    <s v="EMP1015-07"/>
    <n v="1"/>
    <n v="1.0224591828763379"/>
    <s v="Good"/>
  </r>
  <r>
    <x v="14"/>
    <x v="7"/>
    <n v="49668"/>
    <n v="49257"/>
    <s v="EMP1015-08"/>
    <n v="1"/>
    <n v="0.9917250543609567"/>
    <s v="Average"/>
  </r>
  <r>
    <x v="14"/>
    <x v="8"/>
    <n v="51204"/>
    <n v="46153"/>
    <s v="EMP1015-09"/>
    <n v="1"/>
    <n v="0.90135536286227635"/>
    <s v="Average"/>
  </r>
  <r>
    <x v="14"/>
    <x v="9"/>
    <n v="52228"/>
    <n v="49241"/>
    <s v="EMP1015-10"/>
    <n v="1"/>
    <n v="0.94280845523473999"/>
    <s v="Average"/>
  </r>
  <r>
    <x v="14"/>
    <x v="10"/>
    <n v="51204"/>
    <n v="51937"/>
    <s v="EMP1015-11"/>
    <n v="1"/>
    <n v="1.0143152878681354"/>
    <s v="Good"/>
  </r>
  <r>
    <x v="14"/>
    <x v="11"/>
    <n v="43524"/>
    <n v="45469"/>
    <s v="EMP1015-12"/>
    <n v="1"/>
    <n v="1.0446879882363753"/>
    <s v="Good"/>
  </r>
  <r>
    <x v="15"/>
    <x v="0"/>
    <n v="182"/>
    <n v="174"/>
    <s v="EMP1016-01"/>
    <n v="1"/>
    <n v="0.95604395604395609"/>
    <s v="Average"/>
  </r>
  <r>
    <x v="15"/>
    <x v="1"/>
    <n v="169"/>
    <n v="151"/>
    <s v="EMP1016-02"/>
    <n v="1"/>
    <n v="0.89349112426035504"/>
    <s v="Average"/>
  </r>
  <r>
    <x v="15"/>
    <x v="2"/>
    <n v="185"/>
    <n v="183"/>
    <s v="EMP1016-03"/>
    <n v="1"/>
    <n v="0.98918918918918919"/>
    <s v="Average"/>
  </r>
  <r>
    <x v="15"/>
    <x v="3"/>
    <n v="182"/>
    <n v="174"/>
    <s v="EMP1016-04"/>
    <n v="1"/>
    <n v="0.95604395604395609"/>
    <s v="Average"/>
  </r>
  <r>
    <x v="15"/>
    <x v="4"/>
    <n v="182"/>
    <n v="179"/>
    <s v="EMP1016-05"/>
    <n v="1"/>
    <n v="0.98351648351648346"/>
    <s v="Average"/>
  </r>
  <r>
    <x v="15"/>
    <x v="5"/>
    <n v="178"/>
    <n v="174"/>
    <s v="EMP1016-06"/>
    <n v="1"/>
    <n v="0.97752808988764039"/>
    <s v="Average"/>
  </r>
  <r>
    <x v="15"/>
    <x v="6"/>
    <n v="182"/>
    <n v="144"/>
    <s v="EMP1016-07"/>
    <n v="1"/>
    <n v="0.79120879120879117"/>
    <s v="Poor"/>
  </r>
  <r>
    <x v="15"/>
    <x v="7"/>
    <n v="176"/>
    <n v="146"/>
    <s v="EMP1016-08"/>
    <n v="1"/>
    <n v="0.82954545454545459"/>
    <s v="Poor"/>
  </r>
  <r>
    <x v="15"/>
    <x v="8"/>
    <n v="182"/>
    <n v="180"/>
    <s v="EMP1016-09"/>
    <n v="1"/>
    <n v="0.98901098901098905"/>
    <s v="Average"/>
  </r>
  <r>
    <x v="15"/>
    <x v="9"/>
    <n v="185"/>
    <n v="181"/>
    <s v="EMP1016-10"/>
    <n v="1"/>
    <n v="0.97837837837837838"/>
    <s v="Average"/>
  </r>
  <r>
    <x v="15"/>
    <x v="10"/>
    <n v="182"/>
    <n v="181"/>
    <s v="EMP1016-11"/>
    <n v="1"/>
    <n v="0.99450549450549453"/>
    <s v="Average"/>
  </r>
  <r>
    <x v="15"/>
    <x v="11"/>
    <n v="154"/>
    <n v="153"/>
    <s v="EMP1016-12"/>
    <n v="1"/>
    <n v="0.99350649350649356"/>
    <s v="Average"/>
  </r>
  <r>
    <x v="16"/>
    <x v="0"/>
    <n v="18"/>
    <n v="18"/>
    <s v="EMP1017-01"/>
    <n v="1"/>
    <n v="1"/>
    <s v="Good"/>
  </r>
  <r>
    <x v="16"/>
    <x v="1"/>
    <n v="17"/>
    <n v="19"/>
    <s v="EMP1017-02"/>
    <n v="1"/>
    <n v="1.1176470588235294"/>
    <s v="Excellent"/>
  </r>
  <r>
    <x v="16"/>
    <x v="2"/>
    <n v="18"/>
    <n v="19"/>
    <s v="EMP1017-03"/>
    <n v="1"/>
    <n v="1.0555555555555556"/>
    <s v="Good"/>
  </r>
  <r>
    <x v="16"/>
    <x v="3"/>
    <n v="18"/>
    <n v="19"/>
    <s v="EMP1017-04"/>
    <n v="1"/>
    <n v="1.0555555555555556"/>
    <s v="Good"/>
  </r>
  <r>
    <x v="16"/>
    <x v="4"/>
    <n v="18"/>
    <n v="20"/>
    <s v="EMP1017-05"/>
    <n v="1"/>
    <n v="1.1111111111111112"/>
    <s v="Excellent"/>
  </r>
  <r>
    <x v="16"/>
    <x v="5"/>
    <n v="18"/>
    <n v="20"/>
    <s v="EMP1017-06"/>
    <n v="1"/>
    <n v="1.1111111111111112"/>
    <s v="Excellent"/>
  </r>
  <r>
    <x v="16"/>
    <x v="6"/>
    <n v="18"/>
    <n v="20"/>
    <s v="EMP1017-07"/>
    <n v="1"/>
    <n v="1.1111111111111112"/>
    <s v="Excellent"/>
  </r>
  <r>
    <x v="16"/>
    <x v="7"/>
    <n v="17"/>
    <n v="19"/>
    <s v="EMP1017-08"/>
    <n v="1"/>
    <n v="1.1176470588235294"/>
    <s v="Excellent"/>
  </r>
  <r>
    <x v="16"/>
    <x v="8"/>
    <n v="18"/>
    <n v="19"/>
    <s v="EMP1017-09"/>
    <n v="1"/>
    <n v="1.0555555555555556"/>
    <s v="Good"/>
  </r>
  <r>
    <x v="16"/>
    <x v="9"/>
    <n v="18"/>
    <n v="20"/>
    <s v="EMP1017-10"/>
    <n v="1"/>
    <n v="1.1111111111111112"/>
    <s v="Excellent"/>
  </r>
  <r>
    <x v="16"/>
    <x v="10"/>
    <n v="18"/>
    <n v="19"/>
    <s v="EMP1017-11"/>
    <n v="1"/>
    <n v="1.0555555555555556"/>
    <s v="Good"/>
  </r>
  <r>
    <x v="16"/>
    <x v="11"/>
    <n v="15"/>
    <n v="16"/>
    <s v="EMP1017-12"/>
    <n v="1"/>
    <n v="1.0666666666666667"/>
    <s v="Good"/>
  </r>
  <r>
    <x v="17"/>
    <x v="9"/>
    <n v="237"/>
    <n v="196"/>
    <s v="EMP1018-10"/>
    <n v="1"/>
    <n v="0.8270042194092827"/>
    <s v="Poor"/>
  </r>
  <r>
    <x v="17"/>
    <x v="10"/>
    <n v="232"/>
    <n v="198"/>
    <s v="EMP1018-11"/>
    <n v="1"/>
    <n v="0.85344827586206895"/>
    <s v="Average"/>
  </r>
  <r>
    <x v="17"/>
    <x v="11"/>
    <n v="197"/>
    <n v="140"/>
    <s v="EMP1018-12"/>
    <n v="1"/>
    <n v="0.71065989847715738"/>
    <s v="Poor"/>
  </r>
  <r>
    <x v="18"/>
    <x v="0"/>
    <n v="24"/>
    <n v="26"/>
    <s v="EMP1019-01"/>
    <n v="1"/>
    <n v="1.0833333333333333"/>
    <s v="Good"/>
  </r>
  <r>
    <x v="18"/>
    <x v="1"/>
    <n v="22"/>
    <n v="24"/>
    <s v="EMP1019-02"/>
    <n v="1"/>
    <n v="1.0909090909090908"/>
    <s v="Good"/>
  </r>
  <r>
    <x v="18"/>
    <x v="2"/>
    <n v="24"/>
    <n v="27"/>
    <s v="EMP1019-03"/>
    <n v="1"/>
    <n v="1.125"/>
    <s v="Excellent"/>
  </r>
  <r>
    <x v="18"/>
    <x v="3"/>
    <n v="24"/>
    <n v="28"/>
    <s v="EMP1019-04"/>
    <n v="1"/>
    <n v="1.1666666666666667"/>
    <s v="Excellent"/>
  </r>
  <r>
    <x v="18"/>
    <x v="4"/>
    <n v="24"/>
    <n v="28"/>
    <s v="EMP1019-05"/>
    <n v="1"/>
    <n v="1.1666666666666667"/>
    <s v="Excellent"/>
  </r>
  <r>
    <x v="18"/>
    <x v="5"/>
    <n v="23"/>
    <n v="25"/>
    <s v="EMP1019-06"/>
    <n v="1"/>
    <n v="1.0869565217391304"/>
    <s v="Good"/>
  </r>
  <r>
    <x v="18"/>
    <x v="6"/>
    <n v="24"/>
    <n v="27"/>
    <s v="EMP1019-07"/>
    <n v="1"/>
    <n v="1.125"/>
    <s v="Excellent"/>
  </r>
  <r>
    <x v="18"/>
    <x v="7"/>
    <n v="23"/>
    <n v="25"/>
    <s v="EMP1019-08"/>
    <n v="1"/>
    <n v="1.0869565217391304"/>
    <s v="Good"/>
  </r>
  <r>
    <x v="18"/>
    <x v="8"/>
    <n v="24"/>
    <n v="26"/>
    <s v="EMP1019-09"/>
    <n v="1"/>
    <n v="1.0833333333333333"/>
    <s v="Good"/>
  </r>
  <r>
    <x v="18"/>
    <x v="9"/>
    <n v="24"/>
    <n v="27"/>
    <s v="EMP1019-10"/>
    <n v="1"/>
    <n v="1.125"/>
    <s v="Excellent"/>
  </r>
  <r>
    <x v="18"/>
    <x v="10"/>
    <n v="24"/>
    <n v="28"/>
    <s v="EMP1019-11"/>
    <n v="1"/>
    <n v="1.1666666666666667"/>
    <s v="Excellent"/>
  </r>
  <r>
    <x v="18"/>
    <x v="11"/>
    <n v="20"/>
    <n v="21"/>
    <s v="EMP1019-12"/>
    <n v="1"/>
    <n v="1.05"/>
    <s v="Good"/>
  </r>
  <r>
    <x v="19"/>
    <x v="0"/>
    <n v="400"/>
    <n v="358"/>
    <s v="EMP1020-01"/>
    <n v="1"/>
    <n v="0.89500000000000002"/>
    <s v="Average"/>
  </r>
  <r>
    <x v="19"/>
    <x v="1"/>
    <n v="372"/>
    <n v="352"/>
    <s v="EMP1020-02"/>
    <n v="1"/>
    <n v="0.94623655913978499"/>
    <s v="Average"/>
  </r>
  <r>
    <x v="19"/>
    <x v="2"/>
    <n v="408"/>
    <n v="391"/>
    <s v="EMP1020-03"/>
    <n v="1"/>
    <n v="0.95833333333333337"/>
    <s v="Average"/>
  </r>
  <r>
    <x v="19"/>
    <x v="3"/>
    <n v="400"/>
    <n v="345"/>
    <s v="EMP1020-04"/>
    <n v="1"/>
    <n v="0.86250000000000004"/>
    <s v="Average"/>
  </r>
  <r>
    <x v="19"/>
    <x v="4"/>
    <n v="400"/>
    <n v="375"/>
    <s v="EMP1020-05"/>
    <n v="1"/>
    <n v="0.9375"/>
    <s v="Average"/>
  </r>
  <r>
    <x v="19"/>
    <x v="5"/>
    <n v="392"/>
    <n v="387"/>
    <s v="EMP1020-06"/>
    <n v="1"/>
    <n v="0.98724489795918369"/>
    <s v="Average"/>
  </r>
  <r>
    <x v="19"/>
    <x v="6"/>
    <n v="400"/>
    <n v="355"/>
    <s v="EMP1020-07"/>
    <n v="1"/>
    <n v="0.88749999999999996"/>
    <s v="Average"/>
  </r>
  <r>
    <x v="19"/>
    <x v="7"/>
    <n v="388"/>
    <n v="345"/>
    <s v="EMP1020-08"/>
    <n v="1"/>
    <n v="0.88917525773195871"/>
    <s v="Average"/>
  </r>
  <r>
    <x v="19"/>
    <x v="8"/>
    <n v="400"/>
    <n v="376"/>
    <s v="EMP1020-09"/>
    <n v="1"/>
    <n v="0.94"/>
    <s v="Average"/>
  </r>
  <r>
    <x v="19"/>
    <x v="9"/>
    <n v="408"/>
    <n v="336"/>
    <s v="EMP1020-10"/>
    <n v="1"/>
    <n v="0.82352941176470584"/>
    <s v="Poor"/>
  </r>
  <r>
    <x v="19"/>
    <x v="10"/>
    <n v="400"/>
    <n v="371"/>
    <s v="EMP1020-11"/>
    <n v="1"/>
    <n v="0.92749999999999999"/>
    <s v="Average"/>
  </r>
  <r>
    <x v="19"/>
    <x v="11"/>
    <n v="340"/>
    <n v="298"/>
    <s v="EMP1020-12"/>
    <n v="1"/>
    <n v="0.87647058823529411"/>
    <s v="Average"/>
  </r>
  <r>
    <x v="20"/>
    <x v="0"/>
    <n v="176"/>
    <n v="155"/>
    <s v="EMP1021-01"/>
    <n v="1"/>
    <n v="0.88068181818181823"/>
    <s v="Average"/>
  </r>
  <r>
    <x v="20"/>
    <x v="1"/>
    <n v="164"/>
    <n v="155"/>
    <s v="EMP1021-02"/>
    <n v="1"/>
    <n v="0.94512195121951215"/>
    <s v="Average"/>
  </r>
  <r>
    <x v="20"/>
    <x v="2"/>
    <n v="179"/>
    <n v="163"/>
    <s v="EMP1021-03"/>
    <n v="1"/>
    <n v="0.91061452513966479"/>
    <s v="Average"/>
  </r>
  <r>
    <x v="20"/>
    <x v="3"/>
    <n v="176"/>
    <n v="151"/>
    <s v="EMP1021-04"/>
    <n v="1"/>
    <n v="0.85795454545454541"/>
    <s v="Average"/>
  </r>
  <r>
    <x v="20"/>
    <x v="4"/>
    <n v="176"/>
    <n v="152"/>
    <s v="EMP1021-05"/>
    <n v="1"/>
    <n v="0.86363636363636365"/>
    <s v="Average"/>
  </r>
  <r>
    <x v="20"/>
    <x v="5"/>
    <n v="172"/>
    <n v="139"/>
    <s v="EMP1021-06"/>
    <n v="1"/>
    <n v="0.80813953488372092"/>
    <s v="Poor"/>
  </r>
  <r>
    <x v="20"/>
    <x v="6"/>
    <n v="176"/>
    <n v="152"/>
    <s v="EMP1021-07"/>
    <n v="1"/>
    <n v="0.86363636363636365"/>
    <s v="Average"/>
  </r>
  <r>
    <x v="20"/>
    <x v="7"/>
    <n v="171"/>
    <n v="120"/>
    <s v="EMP1021-08"/>
    <n v="1"/>
    <n v="0.70175438596491224"/>
    <s v="Poor"/>
  </r>
  <r>
    <x v="20"/>
    <x v="8"/>
    <n v="176"/>
    <n v="147"/>
    <s v="EMP1021-09"/>
    <n v="1"/>
    <n v="0.83522727272727271"/>
    <s v="Poor"/>
  </r>
  <r>
    <x v="20"/>
    <x v="9"/>
    <n v="179"/>
    <n v="147"/>
    <s v="EMP1021-10"/>
    <n v="1"/>
    <n v="0.82122905027932958"/>
    <s v="Poor"/>
  </r>
  <r>
    <x v="20"/>
    <x v="10"/>
    <n v="176"/>
    <n v="157"/>
    <s v="EMP1021-11"/>
    <n v="1"/>
    <n v="0.89204545454545459"/>
    <s v="Average"/>
  </r>
  <r>
    <x v="20"/>
    <x v="11"/>
    <n v="149"/>
    <n v="131"/>
    <s v="EMP1021-12"/>
    <n v="1"/>
    <n v="0.87919463087248317"/>
    <s v="Average"/>
  </r>
  <r>
    <x v="21"/>
    <x v="0"/>
    <n v="53837"/>
    <n v="49913"/>
    <s v="EMP1022-01"/>
    <n v="1"/>
    <n v="0.92711332355071796"/>
    <s v="Average"/>
  </r>
  <r>
    <x v="21"/>
    <x v="1"/>
    <n v="50068"/>
    <n v="48865"/>
    <s v="EMP1022-02"/>
    <n v="1"/>
    <n v="0.97597267715906366"/>
    <s v="Average"/>
  </r>
  <r>
    <x v="21"/>
    <x v="2"/>
    <n v="54914"/>
    <n v="49248"/>
    <s v="EMP1022-03"/>
    <n v="1"/>
    <n v="0.89682048293695593"/>
    <s v="Average"/>
  </r>
  <r>
    <x v="21"/>
    <x v="3"/>
    <n v="53837"/>
    <n v="51649"/>
    <s v="EMP1022-04"/>
    <n v="1"/>
    <n v="0.9593588052826123"/>
    <s v="Average"/>
  </r>
  <r>
    <x v="21"/>
    <x v="4"/>
    <n v="53837"/>
    <n v="50510"/>
    <s v="EMP1022-05"/>
    <n v="1"/>
    <n v="0.93820235154261944"/>
    <s v="Average"/>
  </r>
  <r>
    <x v="21"/>
    <x v="5"/>
    <n v="52760"/>
    <n v="49949"/>
    <s v="EMP1022-06"/>
    <n v="1"/>
    <n v="0.94672100075815013"/>
    <s v="Average"/>
  </r>
  <r>
    <x v="21"/>
    <x v="6"/>
    <n v="53837"/>
    <n v="46281"/>
    <s v="EMP1022-07"/>
    <n v="1"/>
    <n v="0.85965042628675448"/>
    <s v="Average"/>
  </r>
  <r>
    <x v="21"/>
    <x v="7"/>
    <n v="52222"/>
    <n v="49057"/>
    <s v="EMP1022-08"/>
    <n v="1"/>
    <n v="0.93939335912067712"/>
    <s v="Average"/>
  </r>
  <r>
    <x v="21"/>
    <x v="8"/>
    <n v="53837"/>
    <n v="53124"/>
    <s v="EMP1022-09"/>
    <n v="1"/>
    <n v="0.98675632000297198"/>
    <s v="Average"/>
  </r>
  <r>
    <x v="21"/>
    <x v="9"/>
    <n v="54914"/>
    <n v="59420"/>
    <s v="EMP1022-10"/>
    <n v="1"/>
    <n v="1.0820555778125798"/>
    <s v="Good"/>
  </r>
  <r>
    <x v="21"/>
    <x v="10"/>
    <n v="53837"/>
    <n v="60991"/>
    <s v="EMP1022-11"/>
    <n v="1"/>
    <n v="1.1328825900403068"/>
    <s v="Excellent"/>
  </r>
  <r>
    <x v="21"/>
    <x v="11"/>
    <n v="45761"/>
    <n v="59135"/>
    <s v="EMP1022-12"/>
    <n v="1"/>
    <n v="1.2922575992657503"/>
    <s v="Excellent"/>
  </r>
  <r>
    <x v="22"/>
    <x v="3"/>
    <n v="87"/>
    <n v="82"/>
    <s v="EMP1023-04"/>
    <n v="1"/>
    <n v="0.94252873563218387"/>
    <s v="Average"/>
  </r>
  <r>
    <x v="22"/>
    <x v="4"/>
    <n v="87"/>
    <n v="78"/>
    <s v="EMP1023-05"/>
    <n v="1"/>
    <n v="0.89655172413793105"/>
    <s v="Average"/>
  </r>
  <r>
    <x v="22"/>
    <x v="5"/>
    <n v="85"/>
    <n v="93"/>
    <s v="EMP1023-06"/>
    <n v="1"/>
    <n v="1.0941176470588236"/>
    <s v="Good"/>
  </r>
  <r>
    <x v="22"/>
    <x v="6"/>
    <n v="87"/>
    <n v="72"/>
    <s v="EMP1023-07"/>
    <n v="1"/>
    <n v="0.82758620689655171"/>
    <s v="Poor"/>
  </r>
  <r>
    <x v="22"/>
    <x v="7"/>
    <n v="85"/>
    <n v="71"/>
    <s v="EMP1023-08"/>
    <n v="1"/>
    <n v="0.83529411764705885"/>
    <s v="Poor"/>
  </r>
  <r>
    <x v="22"/>
    <x v="8"/>
    <n v="87"/>
    <n v="74"/>
    <s v="EMP1023-09"/>
    <n v="1"/>
    <n v="0.85057471264367812"/>
    <s v="Average"/>
  </r>
  <r>
    <x v="22"/>
    <x v="9"/>
    <n v="89"/>
    <n v="66"/>
    <s v="EMP1023-10"/>
    <n v="1"/>
    <n v="0.7415730337078652"/>
    <s v="Poor"/>
  </r>
  <r>
    <x v="22"/>
    <x v="10"/>
    <n v="87"/>
    <n v="83"/>
    <s v="EMP1023-11"/>
    <n v="1"/>
    <n v="0.95402298850574707"/>
    <s v="Average"/>
  </r>
  <r>
    <x v="22"/>
    <x v="11"/>
    <n v="74"/>
    <n v="62"/>
    <s v="EMP1023-12"/>
    <n v="1"/>
    <n v="0.83783783783783783"/>
    <s v="Poor"/>
  </r>
  <r>
    <x v="23"/>
    <x v="0"/>
    <n v="25"/>
    <n v="27"/>
    <s v="EMP1024-01"/>
    <n v="1"/>
    <n v="1.08"/>
    <s v="Good"/>
  </r>
  <r>
    <x v="23"/>
    <x v="1"/>
    <n v="23"/>
    <n v="26"/>
    <s v="EMP1024-02"/>
    <n v="1"/>
    <n v="1.1304347826086956"/>
    <s v="Excellent"/>
  </r>
  <r>
    <x v="23"/>
    <x v="2"/>
    <n v="25"/>
    <n v="26"/>
    <s v="EMP1024-03"/>
    <n v="1"/>
    <n v="1.04"/>
    <s v="Good"/>
  </r>
  <r>
    <x v="23"/>
    <x v="3"/>
    <n v="25"/>
    <n v="26"/>
    <s v="EMP1024-04"/>
    <n v="1"/>
    <n v="1.04"/>
    <s v="Good"/>
  </r>
  <r>
    <x v="23"/>
    <x v="4"/>
    <n v="25"/>
    <n v="26"/>
    <s v="EMP1024-05"/>
    <n v="1"/>
    <n v="1.04"/>
    <s v="Good"/>
  </r>
  <r>
    <x v="23"/>
    <x v="5"/>
    <n v="24"/>
    <n v="25"/>
    <s v="EMP1024-06"/>
    <n v="1"/>
    <n v="1.0416666666666667"/>
    <s v="Good"/>
  </r>
  <r>
    <x v="23"/>
    <x v="6"/>
    <n v="25"/>
    <n v="26"/>
    <s v="EMP1024-07"/>
    <n v="1"/>
    <n v="1.04"/>
    <s v="Good"/>
  </r>
  <r>
    <x v="23"/>
    <x v="7"/>
    <n v="24"/>
    <n v="27"/>
    <s v="EMP1024-08"/>
    <n v="1"/>
    <n v="1.125"/>
    <s v="Excellent"/>
  </r>
  <r>
    <x v="23"/>
    <x v="8"/>
    <n v="25"/>
    <n v="26"/>
    <s v="EMP1024-09"/>
    <n v="1"/>
    <n v="1.04"/>
    <s v="Good"/>
  </r>
  <r>
    <x v="23"/>
    <x v="9"/>
    <n v="25"/>
    <n v="26"/>
    <s v="EMP1024-10"/>
    <n v="1"/>
    <n v="1.04"/>
    <s v="Good"/>
  </r>
  <r>
    <x v="23"/>
    <x v="10"/>
    <n v="25"/>
    <n v="25"/>
    <s v="EMP1024-11"/>
    <n v="1"/>
    <n v="1"/>
    <s v="Good"/>
  </r>
  <r>
    <x v="23"/>
    <x v="11"/>
    <n v="21"/>
    <n v="22"/>
    <s v="EMP1024-12"/>
    <n v="1"/>
    <n v="1.0476190476190477"/>
    <s v="Good"/>
  </r>
  <r>
    <x v="24"/>
    <x v="0"/>
    <n v="14"/>
    <n v="14"/>
    <s v="EMP1025-01"/>
    <n v="1"/>
    <n v="1"/>
    <s v="Good"/>
  </r>
  <r>
    <x v="24"/>
    <x v="1"/>
    <n v="13"/>
    <n v="12"/>
    <s v="EMP1025-02"/>
    <n v="1"/>
    <n v="0.92307692307692313"/>
    <s v="Average"/>
  </r>
  <r>
    <x v="24"/>
    <x v="2"/>
    <n v="15"/>
    <n v="14"/>
    <s v="EMP1025-03"/>
    <n v="1"/>
    <n v="0.93333333333333335"/>
    <s v="Average"/>
  </r>
  <r>
    <x v="24"/>
    <x v="3"/>
    <n v="14"/>
    <n v="14"/>
    <s v="EMP1025-04"/>
    <n v="1"/>
    <n v="1"/>
    <s v="Good"/>
  </r>
  <r>
    <x v="24"/>
    <x v="4"/>
    <n v="14"/>
    <n v="14"/>
    <s v="EMP1025-05"/>
    <n v="1"/>
    <n v="1"/>
    <s v="Good"/>
  </r>
  <r>
    <x v="24"/>
    <x v="5"/>
    <n v="14"/>
    <n v="13"/>
    <s v="EMP1025-06"/>
    <n v="1"/>
    <n v="0.9285714285714286"/>
    <s v="Average"/>
  </r>
  <r>
    <x v="24"/>
    <x v="6"/>
    <n v="14"/>
    <n v="14"/>
    <s v="EMP1025-07"/>
    <n v="1"/>
    <n v="1"/>
    <s v="Good"/>
  </r>
  <r>
    <x v="24"/>
    <x v="7"/>
    <n v="14"/>
    <n v="13"/>
    <s v="EMP1025-08"/>
    <n v="1"/>
    <n v="0.9285714285714286"/>
    <s v="Average"/>
  </r>
  <r>
    <x v="24"/>
    <x v="8"/>
    <n v="14"/>
    <n v="14"/>
    <s v="EMP1025-09"/>
    <n v="1"/>
    <n v="1"/>
    <s v="Good"/>
  </r>
  <r>
    <x v="24"/>
    <x v="9"/>
    <n v="15"/>
    <n v="15"/>
    <s v="EMP1025-10"/>
    <n v="1"/>
    <n v="1"/>
    <s v="Good"/>
  </r>
  <r>
    <x v="24"/>
    <x v="10"/>
    <n v="14"/>
    <n v="14"/>
    <s v="EMP1025-11"/>
    <n v="1"/>
    <n v="1"/>
    <s v="Good"/>
  </r>
  <r>
    <x v="24"/>
    <x v="11"/>
    <n v="12"/>
    <n v="12"/>
    <s v="EMP1025-12"/>
    <n v="1"/>
    <n v="1"/>
    <s v="Good"/>
  </r>
  <r>
    <x v="25"/>
    <x v="0"/>
    <n v="296"/>
    <n v="209"/>
    <s v="EMP1026-01"/>
    <n v="1"/>
    <n v="0.70608108108108103"/>
    <s v="Poor"/>
  </r>
  <r>
    <x v="25"/>
    <x v="1"/>
    <n v="275"/>
    <n v="241"/>
    <s v="EMP1026-02"/>
    <n v="1"/>
    <n v="0.87636363636363634"/>
    <s v="Average"/>
  </r>
  <r>
    <x v="25"/>
    <x v="2"/>
    <n v="302"/>
    <n v="248"/>
    <s v="EMP1026-03"/>
    <n v="1"/>
    <n v="0.82119205298013243"/>
    <s v="Poor"/>
  </r>
  <r>
    <x v="25"/>
    <x v="3"/>
    <n v="296"/>
    <n v="224"/>
    <s v="EMP1026-04"/>
    <n v="1"/>
    <n v="0.7567567567567568"/>
    <s v="Poor"/>
  </r>
  <r>
    <x v="25"/>
    <x v="4"/>
    <n v="296"/>
    <n v="265"/>
    <s v="EMP1026-05"/>
    <n v="1"/>
    <n v="0.89527027027027029"/>
    <s v="Average"/>
  </r>
  <r>
    <x v="25"/>
    <x v="5"/>
    <n v="290"/>
    <n v="235"/>
    <s v="EMP1026-06"/>
    <n v="1"/>
    <n v="0.81034482758620685"/>
    <s v="Poor"/>
  </r>
  <r>
    <x v="25"/>
    <x v="6"/>
    <n v="296"/>
    <n v="230"/>
    <s v="EMP1026-07"/>
    <n v="1"/>
    <n v="0.77702702702702697"/>
    <s v="Poor"/>
  </r>
  <r>
    <x v="25"/>
    <x v="7"/>
    <n v="287"/>
    <n v="210"/>
    <s v="EMP1026-08"/>
    <n v="1"/>
    <n v="0.73170731707317072"/>
    <s v="Poor"/>
  </r>
  <r>
    <x v="25"/>
    <x v="8"/>
    <n v="296"/>
    <n v="276"/>
    <s v="EMP1026-09"/>
    <n v="1"/>
    <n v="0.93243243243243246"/>
    <s v="Average"/>
  </r>
  <r>
    <x v="25"/>
    <x v="9"/>
    <n v="302"/>
    <n v="276"/>
    <s v="EMP1026-10"/>
    <n v="1"/>
    <n v="0.91390728476821192"/>
    <s v="Average"/>
  </r>
  <r>
    <x v="25"/>
    <x v="10"/>
    <n v="296"/>
    <n v="250"/>
    <s v="EMP1026-11"/>
    <n v="1"/>
    <n v="0.84459459459459463"/>
    <s v="Poor"/>
  </r>
  <r>
    <x v="25"/>
    <x v="11"/>
    <n v="251"/>
    <n v="228"/>
    <s v="EMP1026-12"/>
    <n v="1"/>
    <n v="0.9083665338645418"/>
    <s v="Average"/>
  </r>
  <r>
    <x v="26"/>
    <x v="3"/>
    <n v="93"/>
    <n v="102"/>
    <s v="EMP1027-04"/>
    <n v="1"/>
    <n v="1.096774193548387"/>
    <s v="Good"/>
  </r>
  <r>
    <x v="26"/>
    <x v="4"/>
    <n v="93"/>
    <n v="87"/>
    <s v="EMP1027-05"/>
    <n v="1"/>
    <n v="0.93548387096774188"/>
    <s v="Average"/>
  </r>
  <r>
    <x v="26"/>
    <x v="5"/>
    <n v="91"/>
    <n v="100"/>
    <s v="EMP1027-06"/>
    <n v="1"/>
    <n v="1.098901098901099"/>
    <s v="Good"/>
  </r>
  <r>
    <x v="26"/>
    <x v="6"/>
    <n v="93"/>
    <n v="101"/>
    <s v="EMP1027-07"/>
    <n v="1"/>
    <n v="1.086021505376344"/>
    <s v="Good"/>
  </r>
  <r>
    <x v="26"/>
    <x v="7"/>
    <n v="90"/>
    <n v="80"/>
    <s v="EMP1027-08"/>
    <n v="1"/>
    <n v="0.88888888888888884"/>
    <s v="Average"/>
  </r>
  <r>
    <x v="26"/>
    <x v="8"/>
    <n v="93"/>
    <n v="86"/>
    <s v="EMP1027-09"/>
    <n v="1"/>
    <n v="0.92473118279569888"/>
    <s v="Average"/>
  </r>
  <r>
    <x v="26"/>
    <x v="9"/>
    <n v="95"/>
    <n v="82"/>
    <s v="EMP1027-10"/>
    <n v="1"/>
    <n v="0.86315789473684212"/>
    <s v="Average"/>
  </r>
  <r>
    <x v="26"/>
    <x v="10"/>
    <n v="93"/>
    <n v="102"/>
    <s v="EMP1027-11"/>
    <n v="1"/>
    <n v="1.096774193548387"/>
    <s v="Good"/>
  </r>
  <r>
    <x v="26"/>
    <x v="11"/>
    <n v="79"/>
    <n v="84"/>
    <s v="EMP1027-12"/>
    <n v="1"/>
    <n v="1.0632911392405062"/>
    <s v="Good"/>
  </r>
  <r>
    <x v="27"/>
    <x v="0"/>
    <n v="63"/>
    <n v="71"/>
    <s v="EMP1028-01"/>
    <n v="1"/>
    <n v="1.126984126984127"/>
    <s v="Excellent"/>
  </r>
  <r>
    <x v="27"/>
    <x v="1"/>
    <n v="58"/>
    <n v="68"/>
    <s v="EMP1028-02"/>
    <n v="1"/>
    <n v="1.1724137931034482"/>
    <s v="Excellent"/>
  </r>
  <r>
    <x v="27"/>
    <x v="2"/>
    <n v="64"/>
    <n v="66"/>
    <s v="EMP1028-03"/>
    <n v="1"/>
    <n v="1.03125"/>
    <s v="Good"/>
  </r>
  <r>
    <x v="27"/>
    <x v="3"/>
    <n v="63"/>
    <n v="68"/>
    <s v="EMP1028-04"/>
    <n v="1"/>
    <n v="1.0793650793650793"/>
    <s v="Good"/>
  </r>
  <r>
    <x v="27"/>
    <x v="4"/>
    <n v="63"/>
    <n v="71"/>
    <s v="EMP1028-05"/>
    <n v="1"/>
    <n v="1.126984126984127"/>
    <s v="Excellent"/>
  </r>
  <r>
    <x v="27"/>
    <x v="5"/>
    <n v="61"/>
    <n v="67"/>
    <s v="EMP1028-06"/>
    <n v="1"/>
    <n v="1.098360655737705"/>
    <s v="Good"/>
  </r>
  <r>
    <x v="27"/>
    <x v="6"/>
    <n v="63"/>
    <n v="71"/>
    <s v="EMP1028-07"/>
    <n v="1"/>
    <n v="1.126984126984127"/>
    <s v="Excellent"/>
  </r>
  <r>
    <x v="27"/>
    <x v="7"/>
    <n v="61"/>
    <n v="65"/>
    <s v="EMP1028-08"/>
    <n v="1"/>
    <n v="1.0655737704918034"/>
    <s v="Good"/>
  </r>
  <r>
    <x v="27"/>
    <x v="8"/>
    <n v="63"/>
    <n v="68"/>
    <s v="EMP1028-09"/>
    <n v="1"/>
    <n v="1.0793650793650793"/>
    <s v="Good"/>
  </r>
  <r>
    <x v="27"/>
    <x v="9"/>
    <n v="64"/>
    <n v="70"/>
    <s v="EMP1028-10"/>
    <n v="1"/>
    <n v="1.09375"/>
    <s v="Good"/>
  </r>
  <r>
    <x v="27"/>
    <x v="10"/>
    <n v="63"/>
    <n v="73"/>
    <s v="EMP1028-11"/>
    <n v="1"/>
    <n v="1.1587301587301588"/>
    <s v="Excellent"/>
  </r>
  <r>
    <x v="27"/>
    <x v="11"/>
    <n v="53"/>
    <n v="58"/>
    <s v="EMP1028-12"/>
    <n v="1"/>
    <n v="1.0943396226415094"/>
    <s v="Good"/>
  </r>
  <r>
    <x v="28"/>
    <x v="0"/>
    <n v="335"/>
    <n v="290"/>
    <s v="EMP1029-01"/>
    <n v="1"/>
    <n v="0.86567164179104472"/>
    <s v="Average"/>
  </r>
  <r>
    <x v="28"/>
    <x v="1"/>
    <n v="311"/>
    <n v="258"/>
    <s v="EMP1029-02"/>
    <n v="1"/>
    <n v="0.82958199356913187"/>
    <s v="Poor"/>
  </r>
  <r>
    <x v="28"/>
    <x v="2"/>
    <n v="341"/>
    <n v="334"/>
    <s v="EMP1029-03"/>
    <n v="1"/>
    <n v="0.97947214076246336"/>
    <s v="Average"/>
  </r>
  <r>
    <x v="28"/>
    <x v="3"/>
    <n v="335"/>
    <n v="326"/>
    <s v="EMP1029-04"/>
    <n v="1"/>
    <n v="0.9731343283582089"/>
    <s v="Average"/>
  </r>
  <r>
    <x v="28"/>
    <x v="4"/>
    <n v="335"/>
    <n v="280"/>
    <s v="EMP1029-05"/>
    <n v="1"/>
    <n v="0.83582089552238803"/>
    <s v="Poor"/>
  </r>
  <r>
    <x v="28"/>
    <x v="5"/>
    <n v="328"/>
    <n v="326"/>
    <s v="EMP1029-06"/>
    <n v="1"/>
    <n v="0.99390243902439024"/>
    <s v="Average"/>
  </r>
  <r>
    <x v="28"/>
    <x v="6"/>
    <n v="335"/>
    <n v="292"/>
    <s v="EMP1029-07"/>
    <n v="1"/>
    <n v="0.87164179104477613"/>
    <s v="Average"/>
  </r>
  <r>
    <x v="28"/>
    <x v="7"/>
    <n v="325"/>
    <n v="277"/>
    <s v="EMP1029-08"/>
    <n v="1"/>
    <n v="0.85230769230769232"/>
    <s v="Average"/>
  </r>
  <r>
    <x v="28"/>
    <x v="8"/>
    <n v="335"/>
    <n v="302"/>
    <s v="EMP1029-09"/>
    <n v="1"/>
    <n v="0.90149253731343282"/>
    <s v="Average"/>
  </r>
  <r>
    <x v="28"/>
    <x v="9"/>
    <n v="341"/>
    <n v="286"/>
    <s v="EMP1029-10"/>
    <n v="1"/>
    <n v="0.83870967741935487"/>
    <s v="Poor"/>
  </r>
  <r>
    <x v="28"/>
    <x v="10"/>
    <n v="335"/>
    <n v="326"/>
    <s v="EMP1029-11"/>
    <n v="1"/>
    <n v="0.9731343283582089"/>
    <s v="Average"/>
  </r>
  <r>
    <x v="28"/>
    <x v="11"/>
    <n v="284"/>
    <n v="236"/>
    <s v="EMP1029-12"/>
    <n v="1"/>
    <n v="0.83098591549295775"/>
    <s v="Poor"/>
  </r>
  <r>
    <x v="29"/>
    <x v="0"/>
    <n v="200"/>
    <n v="202"/>
    <s v="EMP1030-01"/>
    <n v="1"/>
    <n v="1.01"/>
    <s v="Good"/>
  </r>
  <r>
    <x v="29"/>
    <x v="1"/>
    <n v="186"/>
    <n v="181"/>
    <s v="EMP1030-02"/>
    <n v="1"/>
    <n v="0.9731182795698925"/>
    <s v="Average"/>
  </r>
  <r>
    <x v="29"/>
    <x v="2"/>
    <n v="204"/>
    <n v="208"/>
    <s v="EMP1030-03"/>
    <n v="1"/>
    <n v="1.0196078431372548"/>
    <s v="Good"/>
  </r>
  <r>
    <x v="29"/>
    <x v="3"/>
    <n v="200"/>
    <n v="201"/>
    <s v="EMP1030-04"/>
    <n v="1"/>
    <n v="1.0049999999999999"/>
    <s v="Good"/>
  </r>
  <r>
    <x v="29"/>
    <x v="4"/>
    <n v="200"/>
    <n v="200"/>
    <s v="EMP1030-05"/>
    <n v="1"/>
    <n v="1"/>
    <s v="Good"/>
  </r>
  <r>
    <x v="29"/>
    <x v="5"/>
    <n v="196"/>
    <n v="205"/>
    <s v="EMP1030-06"/>
    <n v="1"/>
    <n v="1.0459183673469388"/>
    <s v="Good"/>
  </r>
  <r>
    <x v="29"/>
    <x v="6"/>
    <n v="200"/>
    <n v="210"/>
    <s v="EMP1030-07"/>
    <n v="1"/>
    <n v="1.05"/>
    <s v="Good"/>
  </r>
  <r>
    <x v="29"/>
    <x v="7"/>
    <n v="194"/>
    <n v="161"/>
    <s v="EMP1030-08"/>
    <n v="1"/>
    <n v="0.82989690721649489"/>
    <s v="Poor"/>
  </r>
  <r>
    <x v="29"/>
    <x v="8"/>
    <n v="200"/>
    <n v="186"/>
    <s v="EMP1030-09"/>
    <n v="1"/>
    <n v="0.93"/>
    <s v="Average"/>
  </r>
  <r>
    <x v="29"/>
    <x v="9"/>
    <n v="204"/>
    <n v="203"/>
    <s v="EMP1030-10"/>
    <n v="1"/>
    <n v="0.99509803921568629"/>
    <s v="Average"/>
  </r>
  <r>
    <x v="29"/>
    <x v="10"/>
    <n v="200"/>
    <n v="177"/>
    <s v="EMP1030-11"/>
    <n v="1"/>
    <n v="0.88500000000000001"/>
    <s v="Average"/>
  </r>
  <r>
    <x v="29"/>
    <x v="11"/>
    <n v="170"/>
    <n v="146"/>
    <s v="EMP1030-12"/>
    <n v="1"/>
    <n v="0.85882352941176465"/>
    <s v="Average"/>
  </r>
  <r>
    <x v="30"/>
    <x v="0"/>
    <n v="225"/>
    <n v="239"/>
    <s v="EMP1031-01"/>
    <n v="1"/>
    <n v="1.0622222222222222"/>
    <s v="Good"/>
  </r>
  <r>
    <x v="30"/>
    <x v="1"/>
    <n v="209"/>
    <n v="200"/>
    <s v="EMP1031-02"/>
    <n v="1"/>
    <n v="0.9569377990430622"/>
    <s v="Average"/>
  </r>
  <r>
    <x v="30"/>
    <x v="2"/>
    <n v="230"/>
    <n v="230"/>
    <s v="EMP1031-03"/>
    <n v="1"/>
    <n v="1"/>
    <s v="Good"/>
  </r>
  <r>
    <x v="30"/>
    <x v="3"/>
    <n v="225"/>
    <n v="222"/>
    <s v="EMP1031-04"/>
    <n v="1"/>
    <n v="0.98666666666666669"/>
    <s v="Average"/>
  </r>
  <r>
    <x v="30"/>
    <x v="4"/>
    <n v="225"/>
    <n v="256"/>
    <s v="EMP1031-05"/>
    <n v="1"/>
    <n v="1.1377777777777778"/>
    <s v="Excellent"/>
  </r>
  <r>
    <x v="30"/>
    <x v="5"/>
    <n v="221"/>
    <n v="228"/>
    <s v="EMP1031-06"/>
    <n v="1"/>
    <n v="1.0316742081447965"/>
    <s v="Good"/>
  </r>
  <r>
    <x v="30"/>
    <x v="6"/>
    <n v="225"/>
    <n v="217"/>
    <s v="EMP1031-07"/>
    <n v="1"/>
    <n v="0.96444444444444444"/>
    <s v="Average"/>
  </r>
  <r>
    <x v="30"/>
    <x v="7"/>
    <n v="218"/>
    <n v="167"/>
    <s v="EMP1031-08"/>
    <n v="1"/>
    <n v="0.76605504587155959"/>
    <s v="Poor"/>
  </r>
  <r>
    <x v="30"/>
    <x v="8"/>
    <n v="225"/>
    <n v="187"/>
    <s v="EMP1031-09"/>
    <n v="1"/>
    <n v="0.83111111111111113"/>
    <s v="Poor"/>
  </r>
  <r>
    <x v="30"/>
    <x v="9"/>
    <n v="230"/>
    <n v="226"/>
    <s v="EMP1031-10"/>
    <n v="1"/>
    <n v="0.9826086956521739"/>
    <s v="Average"/>
  </r>
  <r>
    <x v="30"/>
    <x v="10"/>
    <n v="225"/>
    <n v="209"/>
    <s v="EMP1031-11"/>
    <n v="1"/>
    <n v="0.92888888888888888"/>
    <s v="Average"/>
  </r>
  <r>
    <x v="30"/>
    <x v="11"/>
    <n v="191"/>
    <n v="157"/>
    <s v="EMP1031-12"/>
    <n v="1"/>
    <n v="0.82198952879581155"/>
    <s v="Poor"/>
  </r>
  <r>
    <x v="31"/>
    <x v="0"/>
    <n v="36"/>
    <n v="35"/>
    <s v="EMP1032-01"/>
    <n v="1"/>
    <n v="0.97222222222222221"/>
    <s v="Average"/>
  </r>
  <r>
    <x v="31"/>
    <x v="1"/>
    <n v="34"/>
    <n v="36"/>
    <s v="EMP1032-02"/>
    <n v="1"/>
    <n v="1.0588235294117647"/>
    <s v="Good"/>
  </r>
  <r>
    <x v="31"/>
    <x v="2"/>
    <n v="37"/>
    <n v="39"/>
    <s v="EMP1032-03"/>
    <n v="1"/>
    <n v="1.0540540540540539"/>
    <s v="Good"/>
  </r>
  <r>
    <x v="31"/>
    <x v="3"/>
    <n v="36"/>
    <n v="36"/>
    <s v="EMP1032-04"/>
    <n v="1"/>
    <n v="1"/>
    <s v="Good"/>
  </r>
  <r>
    <x v="31"/>
    <x v="4"/>
    <n v="36"/>
    <n v="38"/>
    <s v="EMP1032-05"/>
    <n v="1"/>
    <n v="1.0555555555555556"/>
    <s v="Good"/>
  </r>
  <r>
    <x v="31"/>
    <x v="5"/>
    <n v="35"/>
    <n v="36"/>
    <s v="EMP1032-06"/>
    <n v="1"/>
    <n v="1.0285714285714285"/>
    <s v="Good"/>
  </r>
  <r>
    <x v="31"/>
    <x v="6"/>
    <n v="36"/>
    <n v="35"/>
    <s v="EMP1032-07"/>
    <n v="1"/>
    <n v="0.97222222222222221"/>
    <s v="Average"/>
  </r>
  <r>
    <x v="31"/>
    <x v="7"/>
    <n v="35"/>
    <n v="36"/>
    <s v="EMP1032-08"/>
    <n v="1"/>
    <n v="1.0285714285714285"/>
    <s v="Good"/>
  </r>
  <r>
    <x v="31"/>
    <x v="8"/>
    <n v="36"/>
    <n v="37"/>
    <s v="EMP1032-09"/>
    <n v="1"/>
    <n v="1.0277777777777777"/>
    <s v="Good"/>
  </r>
  <r>
    <x v="31"/>
    <x v="9"/>
    <n v="37"/>
    <n v="36"/>
    <s v="EMP1032-10"/>
    <n v="1"/>
    <n v="0.97297297297297303"/>
    <s v="Average"/>
  </r>
  <r>
    <x v="31"/>
    <x v="10"/>
    <n v="36"/>
    <n v="36"/>
    <s v="EMP1032-11"/>
    <n v="1"/>
    <n v="1"/>
    <s v="Good"/>
  </r>
  <r>
    <x v="31"/>
    <x v="11"/>
    <n v="31"/>
    <n v="29"/>
    <s v="EMP1032-12"/>
    <n v="1"/>
    <n v="0.93548387096774188"/>
    <s v="Average"/>
  </r>
  <r>
    <x v="32"/>
    <x v="0"/>
    <n v="54"/>
    <n v="56"/>
    <s v="EMP1033-01"/>
    <n v="1"/>
    <n v="1.037037037037037"/>
    <s v="Good"/>
  </r>
  <r>
    <x v="32"/>
    <x v="1"/>
    <n v="50"/>
    <n v="54"/>
    <s v="EMP1033-02"/>
    <n v="1"/>
    <n v="1.08"/>
    <s v="Good"/>
  </r>
  <r>
    <x v="32"/>
    <x v="2"/>
    <n v="55"/>
    <n v="53"/>
    <s v="EMP1033-03"/>
    <n v="1"/>
    <n v="0.96363636363636362"/>
    <s v="Average"/>
  </r>
  <r>
    <x v="32"/>
    <x v="3"/>
    <n v="54"/>
    <n v="56"/>
    <s v="EMP1033-04"/>
    <n v="1"/>
    <n v="1.037037037037037"/>
    <s v="Good"/>
  </r>
  <r>
    <x v="32"/>
    <x v="4"/>
    <n v="54"/>
    <n v="54"/>
    <s v="EMP1033-05"/>
    <n v="1"/>
    <n v="1"/>
    <s v="Good"/>
  </r>
  <r>
    <x v="32"/>
    <x v="5"/>
    <n v="53"/>
    <n v="53"/>
    <s v="EMP1033-06"/>
    <n v="1"/>
    <n v="1"/>
    <s v="Good"/>
  </r>
  <r>
    <x v="32"/>
    <x v="6"/>
    <n v="54"/>
    <n v="54"/>
    <s v="EMP1033-07"/>
    <n v="1"/>
    <n v="1"/>
    <s v="Good"/>
  </r>
  <r>
    <x v="32"/>
    <x v="7"/>
    <n v="52"/>
    <n v="50"/>
    <s v="EMP1033-08"/>
    <n v="1"/>
    <n v="0.96153846153846156"/>
    <s v="Average"/>
  </r>
  <r>
    <x v="32"/>
    <x v="8"/>
    <n v="54"/>
    <n v="55"/>
    <s v="EMP1033-09"/>
    <n v="1"/>
    <n v="1.0185185185185186"/>
    <s v="Good"/>
  </r>
  <r>
    <x v="32"/>
    <x v="9"/>
    <n v="55"/>
    <n v="55"/>
    <s v="EMP1033-10"/>
    <n v="1"/>
    <n v="1"/>
    <s v="Good"/>
  </r>
  <r>
    <x v="32"/>
    <x v="10"/>
    <n v="54"/>
    <n v="56"/>
    <s v="EMP1033-11"/>
    <n v="1"/>
    <n v="1.037037037037037"/>
    <s v="Good"/>
  </r>
  <r>
    <x v="32"/>
    <x v="11"/>
    <n v="46"/>
    <n v="45"/>
    <s v="EMP1033-12"/>
    <n v="1"/>
    <n v="0.97826086956521741"/>
    <s v="Average"/>
  </r>
  <r>
    <x v="33"/>
    <x v="0"/>
    <n v="198"/>
    <n v="205"/>
    <s v="EMP1034-01"/>
    <n v="1"/>
    <n v="1.0353535353535352"/>
    <s v="Good"/>
  </r>
  <r>
    <x v="33"/>
    <x v="1"/>
    <n v="184"/>
    <n v="193"/>
    <s v="EMP1034-02"/>
    <n v="1"/>
    <n v="1.048913043478261"/>
    <s v="Good"/>
  </r>
  <r>
    <x v="33"/>
    <x v="2"/>
    <n v="202"/>
    <n v="221"/>
    <s v="EMP1034-03"/>
    <n v="1"/>
    <n v="1.0940594059405941"/>
    <s v="Good"/>
  </r>
  <r>
    <x v="33"/>
    <x v="3"/>
    <n v="198"/>
    <n v="215"/>
    <s v="EMP1034-04"/>
    <n v="1"/>
    <n v="1.0858585858585859"/>
    <s v="Good"/>
  </r>
  <r>
    <x v="33"/>
    <x v="4"/>
    <n v="198"/>
    <n v="205"/>
    <s v="EMP1034-05"/>
    <n v="1"/>
    <n v="1.0353535353535352"/>
    <s v="Good"/>
  </r>
  <r>
    <x v="33"/>
    <x v="5"/>
    <n v="194"/>
    <n v="208"/>
    <s v="EMP1034-06"/>
    <n v="1"/>
    <n v="1.0721649484536082"/>
    <s v="Good"/>
  </r>
  <r>
    <x v="33"/>
    <x v="6"/>
    <n v="198"/>
    <n v="217"/>
    <s v="EMP1034-07"/>
    <n v="1"/>
    <n v="1.095959595959596"/>
    <s v="Good"/>
  </r>
  <r>
    <x v="33"/>
    <x v="7"/>
    <n v="192"/>
    <n v="189"/>
    <s v="EMP1034-08"/>
    <n v="1"/>
    <n v="0.984375"/>
    <s v="Average"/>
  </r>
  <r>
    <x v="33"/>
    <x v="8"/>
    <n v="198"/>
    <n v="216"/>
    <s v="EMP1034-09"/>
    <n v="1"/>
    <n v="1.0909090909090908"/>
    <s v="Good"/>
  </r>
  <r>
    <x v="33"/>
    <x v="9"/>
    <n v="202"/>
    <n v="212"/>
    <s v="EMP1034-10"/>
    <n v="1"/>
    <n v="1.0495049504950495"/>
    <s v="Good"/>
  </r>
  <r>
    <x v="33"/>
    <x v="10"/>
    <n v="198"/>
    <n v="217"/>
    <s v="EMP1034-11"/>
    <n v="1"/>
    <n v="1.095959595959596"/>
    <s v="Good"/>
  </r>
  <r>
    <x v="33"/>
    <x v="11"/>
    <n v="169"/>
    <n v="169"/>
    <s v="EMP1034-12"/>
    <n v="1"/>
    <n v="1"/>
    <s v="Good"/>
  </r>
  <r>
    <x v="34"/>
    <x v="0"/>
    <n v="163"/>
    <n v="109"/>
    <s v="EMP1035-01"/>
    <n v="1"/>
    <n v="0.66871165644171782"/>
    <s v="Poor"/>
  </r>
  <r>
    <x v="34"/>
    <x v="1"/>
    <n v="152"/>
    <n v="116"/>
    <s v="EMP1035-02"/>
    <n v="1"/>
    <n v="0.76315789473684215"/>
    <s v="Poor"/>
  </r>
  <r>
    <x v="34"/>
    <x v="2"/>
    <n v="167"/>
    <n v="129"/>
    <s v="EMP1035-03"/>
    <n v="1"/>
    <n v="0.77245508982035926"/>
    <s v="Poor"/>
  </r>
  <r>
    <x v="34"/>
    <x v="3"/>
    <n v="163"/>
    <n v="116"/>
    <s v="EMP1035-04"/>
    <n v="1"/>
    <n v="0.71165644171779141"/>
    <s v="Poor"/>
  </r>
  <r>
    <x v="34"/>
    <x v="4"/>
    <n v="163"/>
    <n v="130"/>
    <s v="EMP1035-05"/>
    <n v="1"/>
    <n v="0.7975460122699386"/>
    <s v="Poor"/>
  </r>
  <r>
    <x v="34"/>
    <x v="5"/>
    <n v="160"/>
    <n v="107"/>
    <s v="EMP1035-06"/>
    <n v="1"/>
    <n v="0.66874999999999996"/>
    <s v="Poor"/>
  </r>
  <r>
    <x v="34"/>
    <x v="6"/>
    <n v="163"/>
    <n v="123"/>
    <s v="EMP1035-07"/>
    <n v="1"/>
    <n v="0.754601226993865"/>
    <s v="Poor"/>
  </r>
  <r>
    <x v="34"/>
    <x v="7"/>
    <n v="159"/>
    <n v="87"/>
    <s v="EMP1035-08"/>
    <n v="1"/>
    <n v="0.54716981132075471"/>
    <s v="Poor"/>
  </r>
  <r>
    <x v="34"/>
    <x v="8"/>
    <n v="163"/>
    <n v="110"/>
    <s v="EMP1035-09"/>
    <n v="1"/>
    <n v="0.67484662576687116"/>
    <s v="Poor"/>
  </r>
  <r>
    <x v="34"/>
    <x v="9"/>
    <n v="167"/>
    <n v="128"/>
    <s v="EMP1035-10"/>
    <n v="1"/>
    <n v="0.76646706586826352"/>
    <s v="Poor"/>
  </r>
  <r>
    <x v="34"/>
    <x v="10"/>
    <n v="163"/>
    <n v="116"/>
    <s v="EMP1035-11"/>
    <n v="1"/>
    <n v="0.71165644171779141"/>
    <s v="Poor"/>
  </r>
  <r>
    <x v="34"/>
    <x v="11"/>
    <n v="139"/>
    <n v="93"/>
    <s v="EMP1035-12"/>
    <n v="1"/>
    <n v="0.6690647482014388"/>
    <s v="Poor"/>
  </r>
  <r>
    <x v="35"/>
    <x v="9"/>
    <n v="23"/>
    <n v="24"/>
    <s v="EMP1036-10"/>
    <n v="1"/>
    <n v="1.0434782608695652"/>
    <s v="Good"/>
  </r>
  <r>
    <x v="35"/>
    <x v="10"/>
    <n v="22"/>
    <n v="24"/>
    <s v="EMP1036-11"/>
    <n v="1"/>
    <n v="1.0909090909090908"/>
    <s v="Good"/>
  </r>
  <r>
    <x v="35"/>
    <x v="11"/>
    <n v="19"/>
    <n v="18"/>
    <s v="EMP1036-12"/>
    <n v="1"/>
    <n v="0.94736842105263153"/>
    <s v="Average"/>
  </r>
  <r>
    <x v="36"/>
    <x v="8"/>
    <n v="29"/>
    <n v="32"/>
    <s v="EMP1037-09"/>
    <n v="1"/>
    <n v="1.103448275862069"/>
    <s v="Excellent"/>
  </r>
  <r>
    <x v="36"/>
    <x v="9"/>
    <n v="30"/>
    <n v="29"/>
    <s v="EMP1037-10"/>
    <n v="1"/>
    <n v="0.96666666666666667"/>
    <s v="Average"/>
  </r>
  <r>
    <x v="36"/>
    <x v="10"/>
    <n v="29"/>
    <n v="30"/>
    <s v="EMP1037-11"/>
    <n v="1"/>
    <n v="1.0344827586206897"/>
    <s v="Good"/>
  </r>
  <r>
    <x v="36"/>
    <x v="11"/>
    <n v="25"/>
    <n v="26"/>
    <s v="EMP1037-12"/>
    <n v="1"/>
    <n v="1.04"/>
    <s v="Good"/>
  </r>
  <r>
    <x v="37"/>
    <x v="0"/>
    <n v="72688"/>
    <n v="66346"/>
    <s v="EMP1038-01"/>
    <n v="1"/>
    <n v="0.91275038520801233"/>
    <s v="Average"/>
  </r>
  <r>
    <x v="37"/>
    <x v="1"/>
    <n v="67599"/>
    <n v="56461"/>
    <s v="EMP1038-02"/>
    <n v="1"/>
    <n v="0.83523424902735244"/>
    <s v="Poor"/>
  </r>
  <r>
    <x v="37"/>
    <x v="2"/>
    <n v="74141"/>
    <n v="69269"/>
    <s v="EMP1038-03"/>
    <n v="1"/>
    <n v="0.9342873713599763"/>
    <s v="Average"/>
  </r>
  <r>
    <x v="37"/>
    <x v="3"/>
    <n v="72688"/>
    <n v="66151"/>
    <s v="EMP1038-04"/>
    <n v="1"/>
    <n v="0.91006768655073744"/>
    <s v="Average"/>
  </r>
  <r>
    <x v="37"/>
    <x v="4"/>
    <n v="72688"/>
    <n v="75771"/>
    <s v="EMP1038-05"/>
    <n v="1"/>
    <n v="1.0424141536429672"/>
    <s v="Good"/>
  </r>
  <r>
    <x v="37"/>
    <x v="5"/>
    <n v="71234"/>
    <n v="67749"/>
    <s v="EMP1038-06"/>
    <n v="1"/>
    <n v="0.95107673302074847"/>
    <s v="Average"/>
  </r>
  <r>
    <x v="37"/>
    <x v="6"/>
    <n v="72688"/>
    <n v="69736"/>
    <s v="EMP1038-07"/>
    <n v="1"/>
    <n v="0.95938806955756106"/>
    <s v="Average"/>
  </r>
  <r>
    <x v="37"/>
    <x v="7"/>
    <n v="70507"/>
    <n v="62360"/>
    <s v="EMP1038-08"/>
    <n v="1"/>
    <n v="0.88445118924362121"/>
    <s v="Average"/>
  </r>
  <r>
    <x v="37"/>
    <x v="8"/>
    <n v="72688"/>
    <n v="63738"/>
    <s v="EMP1038-09"/>
    <n v="1"/>
    <n v="0.87687101034558657"/>
    <s v="Average"/>
  </r>
  <r>
    <x v="37"/>
    <x v="9"/>
    <n v="74141"/>
    <n v="65420"/>
    <s v="EMP1038-10"/>
    <n v="1"/>
    <n v="0.88237277619670629"/>
    <s v="Average"/>
  </r>
  <r>
    <x v="37"/>
    <x v="10"/>
    <n v="72688"/>
    <n v="77419"/>
    <s v="EMP1038-11"/>
    <n v="1"/>
    <n v="1.0650863966541932"/>
    <s v="Good"/>
  </r>
  <r>
    <x v="37"/>
    <x v="11"/>
    <n v="61784"/>
    <n v="63238"/>
    <s v="EMP1038-12"/>
    <n v="1"/>
    <n v="1.0235336009322802"/>
    <s v="Good"/>
  </r>
  <r>
    <x v="38"/>
    <x v="0"/>
    <n v="108"/>
    <n v="121"/>
    <s v="EMP1039-01"/>
    <n v="1"/>
    <n v="1.1203703703703705"/>
    <s v="Excellent"/>
  </r>
  <r>
    <x v="38"/>
    <x v="1"/>
    <n v="100"/>
    <n v="104"/>
    <s v="EMP1039-02"/>
    <n v="1"/>
    <n v="1.04"/>
    <s v="Good"/>
  </r>
  <r>
    <x v="38"/>
    <x v="2"/>
    <n v="110"/>
    <n v="114"/>
    <s v="EMP1039-03"/>
    <n v="1"/>
    <n v="1.0363636363636364"/>
    <s v="Good"/>
  </r>
  <r>
    <x v="38"/>
    <x v="3"/>
    <n v="108"/>
    <n v="115"/>
    <s v="EMP1039-04"/>
    <n v="1"/>
    <n v="1.0648148148148149"/>
    <s v="Good"/>
  </r>
  <r>
    <x v="38"/>
    <x v="4"/>
    <n v="108"/>
    <n v="103"/>
    <s v="EMP1039-05"/>
    <n v="1"/>
    <n v="0.95370370370370372"/>
    <s v="Average"/>
  </r>
  <r>
    <x v="38"/>
    <x v="5"/>
    <n v="106"/>
    <n v="94"/>
    <s v="EMP1039-06"/>
    <n v="1"/>
    <n v="0.8867924528301887"/>
    <s v="Average"/>
  </r>
  <r>
    <x v="38"/>
    <x v="6"/>
    <n v="108"/>
    <n v="99"/>
    <s v="EMP1039-07"/>
    <n v="1"/>
    <n v="0.91666666666666663"/>
    <s v="Average"/>
  </r>
  <r>
    <x v="38"/>
    <x v="7"/>
    <n v="105"/>
    <n v="90"/>
    <s v="EMP1039-08"/>
    <n v="1"/>
    <n v="0.8571428571428571"/>
    <s v="Average"/>
  </r>
  <r>
    <x v="38"/>
    <x v="8"/>
    <n v="108"/>
    <n v="104"/>
    <s v="EMP1039-09"/>
    <n v="1"/>
    <n v="0.96296296296296291"/>
    <s v="Average"/>
  </r>
  <r>
    <x v="38"/>
    <x v="9"/>
    <n v="110"/>
    <n v="109"/>
    <s v="EMP1039-10"/>
    <n v="1"/>
    <n v="0.99090909090909096"/>
    <s v="Average"/>
  </r>
  <r>
    <x v="38"/>
    <x v="10"/>
    <n v="108"/>
    <n v="130"/>
    <s v="EMP1039-11"/>
    <n v="1"/>
    <n v="1.2037037037037037"/>
    <s v="Excellent"/>
  </r>
  <r>
    <x v="38"/>
    <x v="11"/>
    <n v="92"/>
    <n v="93"/>
    <s v="EMP1039-12"/>
    <n v="1"/>
    <n v="1.0108695652173914"/>
    <s v="Good"/>
  </r>
  <r>
    <x v="39"/>
    <x v="0"/>
    <n v="240"/>
    <n v="216"/>
    <s v="EMP1040-01"/>
    <n v="1"/>
    <n v="0.9"/>
    <s v="Average"/>
  </r>
  <r>
    <x v="39"/>
    <x v="1"/>
    <n v="223"/>
    <n v="160"/>
    <s v="EMP1040-02"/>
    <n v="1"/>
    <n v="0.71748878923766812"/>
    <s v="Poor"/>
  </r>
  <r>
    <x v="39"/>
    <x v="2"/>
    <n v="244"/>
    <n v="211"/>
    <s v="EMP1040-03"/>
    <n v="1"/>
    <n v="0.86475409836065575"/>
    <s v="Average"/>
  </r>
  <r>
    <x v="39"/>
    <x v="3"/>
    <n v="240"/>
    <n v="216"/>
    <s v="EMP1040-04"/>
    <n v="1"/>
    <n v="0.9"/>
    <s v="Average"/>
  </r>
  <r>
    <x v="39"/>
    <x v="4"/>
    <n v="240"/>
    <n v="184"/>
    <s v="EMP1040-05"/>
    <n v="1"/>
    <n v="0.76666666666666672"/>
    <s v="Poor"/>
  </r>
  <r>
    <x v="39"/>
    <x v="5"/>
    <n v="235"/>
    <n v="217"/>
    <s v="EMP1040-06"/>
    <n v="1"/>
    <n v="0.92340425531914894"/>
    <s v="Average"/>
  </r>
  <r>
    <x v="39"/>
    <x v="6"/>
    <n v="240"/>
    <n v="186"/>
    <s v="EMP1040-07"/>
    <n v="1"/>
    <n v="0.77500000000000002"/>
    <s v="Poor"/>
  </r>
  <r>
    <x v="39"/>
    <x v="7"/>
    <n v="232"/>
    <n v="174"/>
    <s v="EMP1040-08"/>
    <n v="1"/>
    <n v="0.75"/>
    <s v="Poor"/>
  </r>
  <r>
    <x v="39"/>
    <x v="8"/>
    <n v="240"/>
    <n v="215"/>
    <s v="EMP1040-09"/>
    <n v="1"/>
    <n v="0.89583333333333337"/>
    <s v="Average"/>
  </r>
  <r>
    <x v="39"/>
    <x v="9"/>
    <n v="244"/>
    <n v="243"/>
    <s v="EMP1040-10"/>
    <n v="1"/>
    <n v="0.99590163934426235"/>
    <s v="Average"/>
  </r>
  <r>
    <x v="39"/>
    <x v="10"/>
    <n v="240"/>
    <n v="221"/>
    <s v="EMP1040-11"/>
    <n v="1"/>
    <n v="0.92083333333333328"/>
    <s v="Average"/>
  </r>
  <r>
    <x v="39"/>
    <x v="11"/>
    <n v="204"/>
    <n v="187"/>
    <s v="EMP1040-12"/>
    <n v="1"/>
    <n v="0.91666666666666663"/>
    <s v="Average"/>
  </r>
  <r>
    <x v="40"/>
    <x v="0"/>
    <n v="377"/>
    <n v="303"/>
    <s v="EMP1041-01"/>
    <n v="1"/>
    <n v="0.80371352785145889"/>
    <s v="Poor"/>
  </r>
  <r>
    <x v="40"/>
    <x v="1"/>
    <n v="351"/>
    <n v="318"/>
    <s v="EMP1041-02"/>
    <n v="1"/>
    <n v="0.90598290598290598"/>
    <s v="Average"/>
  </r>
  <r>
    <x v="40"/>
    <x v="2"/>
    <n v="385"/>
    <n v="310"/>
    <s v="EMP1041-03"/>
    <n v="1"/>
    <n v="0.80519480519480524"/>
    <s v="Poor"/>
  </r>
  <r>
    <x v="40"/>
    <x v="3"/>
    <n v="377"/>
    <n v="325"/>
    <s v="EMP1041-04"/>
    <n v="1"/>
    <n v="0.86206896551724133"/>
    <s v="Average"/>
  </r>
  <r>
    <x v="40"/>
    <x v="4"/>
    <n v="377"/>
    <n v="313"/>
    <s v="EMP1041-05"/>
    <n v="1"/>
    <n v="0.83023872679045096"/>
    <s v="Poor"/>
  </r>
  <r>
    <x v="40"/>
    <x v="5"/>
    <n v="370"/>
    <n v="329"/>
    <s v="EMP1041-06"/>
    <n v="1"/>
    <n v="0.88918918918918921"/>
    <s v="Average"/>
  </r>
  <r>
    <x v="40"/>
    <x v="6"/>
    <n v="377"/>
    <n v="294"/>
    <s v="EMP1041-07"/>
    <n v="1"/>
    <n v="0.77984084880636606"/>
    <s v="Poor"/>
  </r>
  <r>
    <x v="40"/>
    <x v="7"/>
    <n v="366"/>
    <n v="309"/>
    <s v="EMP1041-08"/>
    <n v="1"/>
    <n v="0.84426229508196726"/>
    <s v="Poor"/>
  </r>
  <r>
    <x v="40"/>
    <x v="8"/>
    <n v="377"/>
    <n v="314"/>
    <s v="EMP1041-09"/>
    <n v="1"/>
    <n v="0.83289124668435011"/>
    <s v="Poor"/>
  </r>
  <r>
    <x v="40"/>
    <x v="9"/>
    <n v="385"/>
    <n v="326"/>
    <s v="EMP1041-10"/>
    <n v="1"/>
    <n v="0.8467532467532467"/>
    <s v="Poor"/>
  </r>
  <r>
    <x v="40"/>
    <x v="10"/>
    <n v="377"/>
    <n v="323"/>
    <s v="EMP1041-11"/>
    <n v="1"/>
    <n v="0.85676392572944293"/>
    <s v="Average"/>
  </r>
  <r>
    <x v="40"/>
    <x v="11"/>
    <n v="321"/>
    <n v="282"/>
    <s v="EMP1041-12"/>
    <n v="1"/>
    <n v="0.87850467289719625"/>
    <s v="Average"/>
  </r>
  <r>
    <x v="41"/>
    <x v="0"/>
    <n v="79979"/>
    <n v="77865"/>
    <s v="EMP1042-01"/>
    <n v="1"/>
    <n v="0.97356806161617426"/>
    <s v="Average"/>
  </r>
  <r>
    <x v="41"/>
    <x v="1"/>
    <n v="74380"/>
    <n v="61488"/>
    <s v="EMP1042-02"/>
    <n v="1"/>
    <n v="0.82667383705297126"/>
    <s v="Poor"/>
  </r>
  <r>
    <x v="41"/>
    <x v="2"/>
    <n v="81578"/>
    <n v="84578"/>
    <s v="EMP1042-03"/>
    <n v="1"/>
    <n v="1.0367746206084973"/>
    <s v="Good"/>
  </r>
  <r>
    <x v="41"/>
    <x v="3"/>
    <n v="79979"/>
    <n v="86889"/>
    <s v="EMP1042-04"/>
    <n v="1"/>
    <n v="1.0863976793908401"/>
    <s v="Good"/>
  </r>
  <r>
    <x v="41"/>
    <x v="4"/>
    <n v="79979"/>
    <n v="79432"/>
    <s v="EMP1042-05"/>
    <n v="1"/>
    <n v="0.99316070468497986"/>
    <s v="Average"/>
  </r>
  <r>
    <x v="41"/>
    <x v="5"/>
    <n v="78379"/>
    <n v="89393"/>
    <s v="EMP1042-06"/>
    <n v="1"/>
    <n v="1.1405223337883872"/>
    <s v="Excellent"/>
  </r>
  <r>
    <x v="41"/>
    <x v="6"/>
    <n v="79979"/>
    <n v="70097"/>
    <s v="EMP1042-07"/>
    <n v="1"/>
    <n v="0.8764425661736206"/>
    <s v="Average"/>
  </r>
  <r>
    <x v="41"/>
    <x v="7"/>
    <n v="77579"/>
    <n v="64420"/>
    <s v="EMP1042-08"/>
    <n v="1"/>
    <n v="0.83037935523788653"/>
    <s v="Poor"/>
  </r>
  <r>
    <x v="41"/>
    <x v="8"/>
    <n v="79979"/>
    <n v="62223"/>
    <s v="EMP1042-09"/>
    <n v="1"/>
    <n v="0.77799172282724216"/>
    <s v="Poor"/>
  </r>
  <r>
    <x v="41"/>
    <x v="9"/>
    <n v="81578"/>
    <n v="90262"/>
    <s v="EMP1042-10"/>
    <n v="1"/>
    <n v="1.1064502684547304"/>
    <s v="Excellent"/>
  </r>
  <r>
    <x v="41"/>
    <x v="10"/>
    <n v="79979"/>
    <n v="89841"/>
    <s v="EMP1042-11"/>
    <n v="1"/>
    <n v="1.1233073681841483"/>
    <s v="Excellent"/>
  </r>
  <r>
    <x v="41"/>
    <x v="11"/>
    <n v="67982"/>
    <n v="74324"/>
    <s v="EMP1042-12"/>
    <n v="1"/>
    <n v="1.0932894001353299"/>
    <s v="Good"/>
  </r>
  <r>
    <x v="42"/>
    <x v="9"/>
    <n v="214"/>
    <n v="174"/>
    <s v="EMP1043-10"/>
    <n v="1"/>
    <n v="0.81308411214953269"/>
    <s v="Poor"/>
  </r>
  <r>
    <x v="42"/>
    <x v="10"/>
    <n v="210"/>
    <n v="226"/>
    <s v="EMP1043-11"/>
    <n v="1"/>
    <n v="1.0761904761904761"/>
    <s v="Good"/>
  </r>
  <r>
    <x v="42"/>
    <x v="11"/>
    <n v="178"/>
    <n v="165"/>
    <s v="EMP1043-12"/>
    <n v="1"/>
    <n v="0.9269662921348315"/>
    <s v="Average"/>
  </r>
  <r>
    <x v="43"/>
    <x v="3"/>
    <n v="42"/>
    <n v="45"/>
    <s v="EMP1044-04"/>
    <n v="1"/>
    <n v="1.0714285714285714"/>
    <s v="Good"/>
  </r>
  <r>
    <x v="43"/>
    <x v="4"/>
    <n v="42"/>
    <n v="44"/>
    <s v="EMP1044-05"/>
    <n v="1"/>
    <n v="1.0476190476190477"/>
    <s v="Good"/>
  </r>
  <r>
    <x v="43"/>
    <x v="5"/>
    <n v="41"/>
    <n v="43"/>
    <s v="EMP1044-06"/>
    <n v="1"/>
    <n v="1.0487804878048781"/>
    <s v="Good"/>
  </r>
  <r>
    <x v="43"/>
    <x v="6"/>
    <n v="42"/>
    <n v="42"/>
    <s v="EMP1044-07"/>
    <n v="1"/>
    <n v="1"/>
    <s v="Good"/>
  </r>
  <r>
    <x v="43"/>
    <x v="7"/>
    <n v="41"/>
    <n v="42"/>
    <s v="EMP1044-08"/>
    <n v="1"/>
    <n v="1.024390243902439"/>
    <s v="Good"/>
  </r>
  <r>
    <x v="43"/>
    <x v="8"/>
    <n v="42"/>
    <n v="46"/>
    <s v="EMP1044-09"/>
    <n v="1"/>
    <n v="1.0952380952380953"/>
    <s v="Good"/>
  </r>
  <r>
    <x v="43"/>
    <x v="9"/>
    <n v="43"/>
    <n v="47"/>
    <s v="EMP1044-10"/>
    <n v="1"/>
    <n v="1.0930232558139534"/>
    <s v="Good"/>
  </r>
  <r>
    <x v="43"/>
    <x v="10"/>
    <n v="42"/>
    <n v="46"/>
    <s v="EMP1044-11"/>
    <n v="1"/>
    <n v="1.0952380952380953"/>
    <s v="Good"/>
  </r>
  <r>
    <x v="43"/>
    <x v="11"/>
    <n v="36"/>
    <n v="35"/>
    <s v="EMP1044-12"/>
    <n v="1"/>
    <n v="0.97222222222222221"/>
    <s v="Average"/>
  </r>
  <r>
    <x v="44"/>
    <x v="0"/>
    <n v="171159"/>
    <n v="131861"/>
    <s v="EMP1045-01"/>
    <n v="1"/>
    <n v="0.7704006216442022"/>
    <s v="Poor"/>
  </r>
  <r>
    <x v="44"/>
    <x v="1"/>
    <n v="159178"/>
    <n v="128866"/>
    <s v="EMP1045-02"/>
    <n v="1"/>
    <n v="0.80957167447762879"/>
    <s v="Poor"/>
  </r>
  <r>
    <x v="44"/>
    <x v="2"/>
    <n v="174582"/>
    <n v="164864"/>
    <s v="EMP1045-03"/>
    <n v="1"/>
    <n v="0.94433561306434799"/>
    <s v="Average"/>
  </r>
  <r>
    <x v="44"/>
    <x v="3"/>
    <n v="171159"/>
    <n v="114110"/>
    <s v="EMP1045-04"/>
    <n v="1"/>
    <n v="0.66669003674945515"/>
    <s v="Poor"/>
  </r>
  <r>
    <x v="44"/>
    <x v="4"/>
    <n v="171159"/>
    <n v="169427"/>
    <s v="EMP1045-05"/>
    <n v="1"/>
    <n v="0.9898807541525716"/>
    <s v="Average"/>
  </r>
  <r>
    <x v="44"/>
    <x v="5"/>
    <n v="167736"/>
    <n v="137903"/>
    <s v="EMP1045-06"/>
    <n v="1"/>
    <n v="0.82214312967997327"/>
    <s v="Poor"/>
  </r>
  <r>
    <x v="44"/>
    <x v="6"/>
    <n v="171159"/>
    <n v="136284"/>
    <s v="EMP1045-07"/>
    <n v="1"/>
    <n v="0.79624209068760621"/>
    <s v="Poor"/>
  </r>
  <r>
    <x v="44"/>
    <x v="7"/>
    <n v="166024"/>
    <n v="122648"/>
    <s v="EMP1045-08"/>
    <n v="1"/>
    <n v="0.73873656820700617"/>
    <s v="Poor"/>
  </r>
  <r>
    <x v="44"/>
    <x v="8"/>
    <n v="171159"/>
    <n v="115615"/>
    <s v="EMP1045-09"/>
    <n v="1"/>
    <n v="0.67548303039863522"/>
    <s v="Poor"/>
  </r>
  <r>
    <x v="44"/>
    <x v="9"/>
    <n v="174582"/>
    <n v="161361"/>
    <s v="EMP1045-10"/>
    <n v="1"/>
    <n v="0.92427054335498504"/>
    <s v="Average"/>
  </r>
  <r>
    <x v="44"/>
    <x v="10"/>
    <n v="171159"/>
    <n v="162653"/>
    <s v="EMP1045-11"/>
    <n v="1"/>
    <n v="0.95030351895021592"/>
    <s v="Average"/>
  </r>
  <r>
    <x v="44"/>
    <x v="11"/>
    <n v="145485"/>
    <n v="124384"/>
    <s v="EMP1045-12"/>
    <n v="1"/>
    <n v="0.85496099254218649"/>
    <s v="Average"/>
  </r>
  <r>
    <x v="45"/>
    <x v="0"/>
    <n v="31"/>
    <n v="30"/>
    <s v="EMP1046-01"/>
    <n v="1"/>
    <n v="0.967741935483871"/>
    <s v="Average"/>
  </r>
  <r>
    <x v="45"/>
    <x v="1"/>
    <n v="28"/>
    <n v="29"/>
    <s v="EMP1046-02"/>
    <n v="1"/>
    <n v="1.0357142857142858"/>
    <s v="Good"/>
  </r>
  <r>
    <x v="45"/>
    <x v="2"/>
    <n v="31"/>
    <n v="29"/>
    <s v="EMP1046-03"/>
    <n v="1"/>
    <n v="0.93548387096774188"/>
    <s v="Average"/>
  </r>
  <r>
    <x v="45"/>
    <x v="3"/>
    <n v="31"/>
    <n v="29"/>
    <s v="EMP1046-04"/>
    <n v="1"/>
    <n v="0.93548387096774188"/>
    <s v="Average"/>
  </r>
  <r>
    <x v="45"/>
    <x v="4"/>
    <n v="31"/>
    <n v="30"/>
    <s v="EMP1046-05"/>
    <n v="1"/>
    <n v="0.967741935483871"/>
    <s v="Average"/>
  </r>
  <r>
    <x v="45"/>
    <x v="5"/>
    <n v="30"/>
    <n v="28"/>
    <s v="EMP1046-06"/>
    <n v="1"/>
    <n v="0.93333333333333335"/>
    <s v="Average"/>
  </r>
  <r>
    <x v="45"/>
    <x v="6"/>
    <n v="31"/>
    <n v="28"/>
    <s v="EMP1046-07"/>
    <n v="1"/>
    <n v="0.90322580645161288"/>
    <s v="Average"/>
  </r>
  <r>
    <x v="45"/>
    <x v="7"/>
    <n v="30"/>
    <n v="29"/>
    <s v="EMP1046-08"/>
    <n v="1"/>
    <n v="0.96666666666666667"/>
    <s v="Average"/>
  </r>
  <r>
    <x v="45"/>
    <x v="8"/>
    <n v="31"/>
    <n v="29"/>
    <s v="EMP1046-09"/>
    <n v="1"/>
    <n v="0.93548387096774188"/>
    <s v="Average"/>
  </r>
  <r>
    <x v="45"/>
    <x v="9"/>
    <n v="31"/>
    <n v="31"/>
    <s v="EMP1046-10"/>
    <n v="1"/>
    <n v="1"/>
    <s v="Good"/>
  </r>
  <r>
    <x v="45"/>
    <x v="10"/>
    <n v="31"/>
    <n v="32"/>
    <s v="EMP1046-11"/>
    <n v="1"/>
    <n v="1.032258064516129"/>
    <s v="Good"/>
  </r>
  <r>
    <x v="45"/>
    <x v="11"/>
    <n v="26"/>
    <n v="25"/>
    <s v="EMP1046-12"/>
    <n v="1"/>
    <n v="0.96153846153846156"/>
    <s v="Average"/>
  </r>
  <r>
    <x v="46"/>
    <x v="0"/>
    <n v="27"/>
    <n v="27"/>
    <s v="EMP1047-01"/>
    <n v="1"/>
    <n v="1"/>
    <s v="Good"/>
  </r>
  <r>
    <x v="46"/>
    <x v="1"/>
    <n v="25"/>
    <n v="28"/>
    <s v="EMP1047-02"/>
    <n v="1"/>
    <n v="1.1200000000000001"/>
    <s v="Excellent"/>
  </r>
  <r>
    <x v="46"/>
    <x v="2"/>
    <n v="27"/>
    <n v="28"/>
    <s v="EMP1047-03"/>
    <n v="1"/>
    <n v="1.037037037037037"/>
    <s v="Good"/>
  </r>
  <r>
    <x v="46"/>
    <x v="3"/>
    <n v="27"/>
    <n v="28"/>
    <s v="EMP1047-04"/>
    <n v="1"/>
    <n v="1.037037037037037"/>
    <s v="Good"/>
  </r>
  <r>
    <x v="46"/>
    <x v="4"/>
    <n v="27"/>
    <n v="28"/>
    <s v="EMP1047-05"/>
    <n v="1"/>
    <n v="1.037037037037037"/>
    <s v="Good"/>
  </r>
  <r>
    <x v="46"/>
    <x v="5"/>
    <n v="26"/>
    <n v="27"/>
    <s v="EMP1047-06"/>
    <n v="1"/>
    <n v="1.0384615384615385"/>
    <s v="Good"/>
  </r>
  <r>
    <x v="46"/>
    <x v="6"/>
    <n v="27"/>
    <n v="28"/>
    <s v="EMP1047-07"/>
    <n v="1"/>
    <n v="1.037037037037037"/>
    <s v="Good"/>
  </r>
  <r>
    <x v="46"/>
    <x v="7"/>
    <n v="26"/>
    <n v="26"/>
    <s v="EMP1047-08"/>
    <n v="1"/>
    <n v="1"/>
    <s v="Good"/>
  </r>
  <r>
    <x v="46"/>
    <x v="8"/>
    <n v="27"/>
    <n v="28"/>
    <s v="EMP1047-09"/>
    <n v="1"/>
    <n v="1.037037037037037"/>
    <s v="Good"/>
  </r>
  <r>
    <x v="46"/>
    <x v="9"/>
    <n v="27"/>
    <n v="28"/>
    <s v="EMP1047-10"/>
    <n v="1"/>
    <n v="1.037037037037037"/>
    <s v="Good"/>
  </r>
  <r>
    <x v="46"/>
    <x v="10"/>
    <n v="27"/>
    <n v="28"/>
    <s v="EMP1047-11"/>
    <n v="1"/>
    <n v="1.037037037037037"/>
    <s v="Good"/>
  </r>
  <r>
    <x v="46"/>
    <x v="11"/>
    <n v="23"/>
    <n v="22"/>
    <s v="EMP1047-12"/>
    <n v="1"/>
    <n v="0.95652173913043481"/>
    <s v="Average"/>
  </r>
  <r>
    <x v="47"/>
    <x v="0"/>
    <n v="41138"/>
    <n v="34764"/>
    <s v="EMP1048-01"/>
    <n v="1"/>
    <n v="0.84505809713646751"/>
    <s v="Poor"/>
  </r>
  <r>
    <x v="47"/>
    <x v="1"/>
    <n v="38258"/>
    <n v="39864"/>
    <s v="EMP1048-02"/>
    <n v="1"/>
    <n v="1.041978148361127"/>
    <s v="Good"/>
  </r>
  <r>
    <x v="47"/>
    <x v="2"/>
    <n v="41961"/>
    <n v="27585"/>
    <s v="EMP1048-03"/>
    <n v="1"/>
    <n v="0.6573961535711732"/>
    <s v="Poor"/>
  </r>
  <r>
    <x v="47"/>
    <x v="3"/>
    <n v="41138"/>
    <n v="42482"/>
    <s v="EMP1048-04"/>
    <n v="1"/>
    <n v="1.032670523603481"/>
    <s v="Good"/>
  </r>
  <r>
    <x v="47"/>
    <x v="4"/>
    <n v="41138"/>
    <n v="43159"/>
    <s v="EMP1048-05"/>
    <n v="1"/>
    <n v="1.0491273275317226"/>
    <s v="Good"/>
  </r>
  <r>
    <x v="47"/>
    <x v="5"/>
    <n v="40315"/>
    <n v="28954"/>
    <s v="EMP1048-06"/>
    <n v="1"/>
    <n v="0.71819422051345649"/>
    <s v="Poor"/>
  </r>
  <r>
    <x v="47"/>
    <x v="6"/>
    <n v="41138"/>
    <n v="36705"/>
    <s v="EMP1048-07"/>
    <n v="1"/>
    <n v="0.8922407506441733"/>
    <s v="Average"/>
  </r>
  <r>
    <x v="47"/>
    <x v="7"/>
    <n v="39904"/>
    <n v="35530"/>
    <s v="EMP1048-08"/>
    <n v="1"/>
    <n v="0.89038692862870894"/>
    <s v="Average"/>
  </r>
  <r>
    <x v="47"/>
    <x v="8"/>
    <n v="41138"/>
    <n v="32409"/>
    <s v="EMP1048-09"/>
    <n v="1"/>
    <n v="0.78781175555447513"/>
    <s v="Poor"/>
  </r>
  <r>
    <x v="47"/>
    <x v="9"/>
    <n v="41961"/>
    <n v="35741"/>
    <s v="EMP1048-10"/>
    <n v="1"/>
    <n v="0.85176711708491215"/>
    <s v="Average"/>
  </r>
  <r>
    <x v="47"/>
    <x v="10"/>
    <n v="41138"/>
    <n v="37826"/>
    <s v="EMP1048-11"/>
    <n v="1"/>
    <n v="0.9194904954057076"/>
    <s v="Average"/>
  </r>
  <r>
    <x v="47"/>
    <x v="11"/>
    <n v="34967"/>
    <n v="43596"/>
    <s v="EMP1048-12"/>
    <n v="1"/>
    <n v="1.2467755312151456"/>
    <s v="Excellent"/>
  </r>
  <r>
    <x v="48"/>
    <x v="0"/>
    <n v="26"/>
    <n v="29"/>
    <s v="EMP1049-01"/>
    <n v="1"/>
    <n v="1.1153846153846154"/>
    <s v="Excellent"/>
  </r>
  <r>
    <x v="48"/>
    <x v="1"/>
    <n v="24"/>
    <n v="27"/>
    <s v="EMP1049-02"/>
    <n v="1"/>
    <n v="1.125"/>
    <s v="Excellent"/>
  </r>
  <r>
    <x v="48"/>
    <x v="2"/>
    <n v="26"/>
    <n v="27"/>
    <s v="EMP1049-03"/>
    <n v="1"/>
    <n v="1.0384615384615385"/>
    <s v="Good"/>
  </r>
  <r>
    <x v="48"/>
    <x v="3"/>
    <n v="26"/>
    <n v="28"/>
    <s v="EMP1049-04"/>
    <n v="1"/>
    <n v="1.0769230769230769"/>
    <s v="Good"/>
  </r>
  <r>
    <x v="48"/>
    <x v="4"/>
    <n v="26"/>
    <n v="29"/>
    <s v="EMP1049-05"/>
    <n v="1"/>
    <n v="1.1153846153846154"/>
    <s v="Excellent"/>
  </r>
  <r>
    <x v="48"/>
    <x v="5"/>
    <n v="25"/>
    <n v="26"/>
    <s v="EMP1049-06"/>
    <n v="1"/>
    <n v="1.04"/>
    <s v="Good"/>
  </r>
  <r>
    <x v="48"/>
    <x v="6"/>
    <n v="26"/>
    <n v="29"/>
    <s v="EMP1049-07"/>
    <n v="1"/>
    <n v="1.1153846153846154"/>
    <s v="Excellent"/>
  </r>
  <r>
    <x v="48"/>
    <x v="7"/>
    <n v="25"/>
    <n v="26"/>
    <s v="EMP1049-08"/>
    <n v="1"/>
    <n v="1.04"/>
    <s v="Good"/>
  </r>
  <r>
    <x v="48"/>
    <x v="8"/>
    <n v="26"/>
    <n v="28"/>
    <s v="EMP1049-09"/>
    <n v="1"/>
    <n v="1.0769230769230769"/>
    <s v="Good"/>
  </r>
  <r>
    <x v="48"/>
    <x v="9"/>
    <n v="26"/>
    <n v="29"/>
    <s v="EMP1049-10"/>
    <n v="1"/>
    <n v="1.1153846153846154"/>
    <s v="Excellent"/>
  </r>
  <r>
    <x v="48"/>
    <x v="10"/>
    <n v="26"/>
    <n v="29"/>
    <s v="EMP1049-11"/>
    <n v="1"/>
    <n v="1.1153846153846154"/>
    <s v="Excellent"/>
  </r>
  <r>
    <x v="48"/>
    <x v="11"/>
    <n v="22"/>
    <n v="23"/>
    <s v="EMP1049-12"/>
    <n v="1"/>
    <n v="1.0454545454545454"/>
    <s v="Good"/>
  </r>
  <r>
    <x v="49"/>
    <x v="0"/>
    <n v="29"/>
    <n v="30"/>
    <s v="EMP1050-01"/>
    <n v="1"/>
    <n v="1.0344827586206897"/>
    <s v="Good"/>
  </r>
  <r>
    <x v="49"/>
    <x v="1"/>
    <n v="27"/>
    <n v="30"/>
    <s v="EMP1050-02"/>
    <n v="1"/>
    <n v="1.1111111111111112"/>
    <s v="Excellent"/>
  </r>
  <r>
    <x v="49"/>
    <x v="2"/>
    <n v="30"/>
    <n v="33"/>
    <s v="EMP1050-03"/>
    <n v="1"/>
    <n v="1.1000000000000001"/>
    <s v="Excellent"/>
  </r>
  <r>
    <x v="49"/>
    <x v="3"/>
    <n v="29"/>
    <n v="31"/>
    <s v="EMP1050-04"/>
    <n v="1"/>
    <n v="1.0689655172413792"/>
    <s v="Good"/>
  </r>
  <r>
    <x v="49"/>
    <x v="4"/>
    <n v="29"/>
    <n v="32"/>
    <s v="EMP1050-05"/>
    <n v="1"/>
    <n v="1.103448275862069"/>
    <s v="Excellent"/>
  </r>
  <r>
    <x v="49"/>
    <x v="5"/>
    <n v="29"/>
    <n v="30"/>
    <s v="EMP1050-06"/>
    <n v="1"/>
    <n v="1.0344827586206897"/>
    <s v="Good"/>
  </r>
  <r>
    <x v="49"/>
    <x v="6"/>
    <n v="29"/>
    <n v="32"/>
    <s v="EMP1050-07"/>
    <n v="1"/>
    <n v="1.103448275862069"/>
    <s v="Excellent"/>
  </r>
  <r>
    <x v="49"/>
    <x v="7"/>
    <n v="29"/>
    <n v="30"/>
    <s v="EMP1050-08"/>
    <n v="1"/>
    <n v="1.0344827586206897"/>
    <s v="Good"/>
  </r>
  <r>
    <x v="49"/>
    <x v="8"/>
    <n v="29"/>
    <n v="31"/>
    <s v="EMP1050-09"/>
    <n v="1"/>
    <n v="1.0689655172413792"/>
    <s v="Good"/>
  </r>
  <r>
    <x v="49"/>
    <x v="9"/>
    <n v="30"/>
    <n v="34"/>
    <s v="EMP1050-10"/>
    <n v="1"/>
    <n v="1.1333333333333333"/>
    <s v="Excellent"/>
  </r>
  <r>
    <x v="49"/>
    <x v="10"/>
    <n v="29"/>
    <n v="31"/>
    <s v="EMP1050-11"/>
    <n v="1"/>
    <n v="1.0689655172413792"/>
    <s v="Good"/>
  </r>
  <r>
    <x v="49"/>
    <x v="11"/>
    <n v="25"/>
    <n v="25"/>
    <s v="EMP1050-12"/>
    <n v="1"/>
    <n v="1"/>
    <s v="Good"/>
  </r>
  <r>
    <x v="50"/>
    <x v="9"/>
    <n v="955"/>
    <n v="778"/>
    <s v="EMP1051-10"/>
    <n v="1"/>
    <n v="0.81465968586387438"/>
    <s v="Poor"/>
  </r>
  <r>
    <x v="50"/>
    <x v="10"/>
    <n v="936"/>
    <n v="704"/>
    <s v="EMP1051-11"/>
    <n v="1"/>
    <n v="0.75213675213675213"/>
    <s v="Poor"/>
  </r>
  <r>
    <x v="50"/>
    <x v="11"/>
    <n v="796"/>
    <n v="736"/>
    <s v="EMP1051-12"/>
    <n v="1"/>
    <n v="0.92462311557788945"/>
    <s v="Average"/>
  </r>
  <r>
    <x v="51"/>
    <x v="1"/>
    <n v="181"/>
    <n v="142"/>
    <s v="EMP1052-02"/>
    <n v="1"/>
    <n v="0.78453038674033149"/>
    <s v="Poor"/>
  </r>
  <r>
    <x v="51"/>
    <x v="2"/>
    <n v="199"/>
    <n v="140"/>
    <s v="EMP1052-03"/>
    <n v="1"/>
    <n v="0.70351758793969854"/>
    <s v="Poor"/>
  </r>
  <r>
    <x v="51"/>
    <x v="3"/>
    <n v="195"/>
    <n v="134"/>
    <s v="EMP1052-04"/>
    <n v="1"/>
    <n v="0.68717948717948718"/>
    <s v="Poor"/>
  </r>
  <r>
    <x v="51"/>
    <x v="4"/>
    <n v="195"/>
    <n v="130"/>
    <s v="EMP1052-05"/>
    <n v="1"/>
    <n v="0.66666666666666663"/>
    <s v="Poor"/>
  </r>
  <r>
    <x v="51"/>
    <x v="5"/>
    <n v="191"/>
    <n v="137"/>
    <s v="EMP1052-06"/>
    <n v="1"/>
    <n v="0.7172774869109948"/>
    <s v="Poor"/>
  </r>
  <r>
    <x v="51"/>
    <x v="6"/>
    <n v="195"/>
    <n v="136"/>
    <s v="EMP1052-07"/>
    <n v="1"/>
    <n v="0.6974358974358974"/>
    <s v="Poor"/>
  </r>
  <r>
    <x v="51"/>
    <x v="7"/>
    <n v="189"/>
    <n v="115"/>
    <s v="EMP1052-08"/>
    <n v="1"/>
    <n v="0.60846560846560849"/>
    <s v="Poor"/>
  </r>
  <r>
    <x v="51"/>
    <x v="8"/>
    <n v="195"/>
    <n v="128"/>
    <s v="EMP1052-09"/>
    <n v="1"/>
    <n v="0.65641025641025641"/>
    <s v="Poor"/>
  </r>
  <r>
    <x v="51"/>
    <x v="9"/>
    <n v="199"/>
    <n v="141"/>
    <s v="EMP1052-10"/>
    <n v="1"/>
    <n v="0.70854271356783916"/>
    <s v="Poor"/>
  </r>
  <r>
    <x v="51"/>
    <x v="10"/>
    <n v="195"/>
    <n v="133"/>
    <s v="EMP1052-11"/>
    <n v="1"/>
    <n v="0.68205128205128207"/>
    <s v="Poor"/>
  </r>
  <r>
    <x v="51"/>
    <x v="11"/>
    <n v="165"/>
    <n v="104"/>
    <s v="EMP1052-12"/>
    <n v="1"/>
    <n v="0.63030303030303025"/>
    <s v="Poor"/>
  </r>
  <r>
    <x v="52"/>
    <x v="0"/>
    <n v="203"/>
    <n v="161"/>
    <s v="EMP1053-01"/>
    <n v="1"/>
    <n v="0.7931034482758621"/>
    <s v="Poor"/>
  </r>
  <r>
    <x v="52"/>
    <x v="1"/>
    <n v="189"/>
    <n v="154"/>
    <s v="EMP1053-02"/>
    <n v="1"/>
    <n v="0.81481481481481477"/>
    <s v="Poor"/>
  </r>
  <r>
    <x v="52"/>
    <x v="2"/>
    <n v="207"/>
    <n v="192"/>
    <s v="EMP1053-03"/>
    <n v="1"/>
    <n v="0.92753623188405798"/>
    <s v="Average"/>
  </r>
  <r>
    <x v="52"/>
    <x v="3"/>
    <n v="203"/>
    <n v="182"/>
    <s v="EMP1053-04"/>
    <n v="1"/>
    <n v="0.89655172413793105"/>
    <s v="Average"/>
  </r>
  <r>
    <x v="52"/>
    <x v="4"/>
    <n v="203"/>
    <n v="179"/>
    <s v="EMP1053-05"/>
    <n v="1"/>
    <n v="0.88177339901477836"/>
    <s v="Average"/>
  </r>
  <r>
    <x v="52"/>
    <x v="5"/>
    <n v="199"/>
    <n v="178"/>
    <s v="EMP1053-06"/>
    <n v="1"/>
    <n v="0.89447236180904521"/>
    <s v="Average"/>
  </r>
  <r>
    <x v="52"/>
    <x v="6"/>
    <n v="203"/>
    <n v="185"/>
    <s v="EMP1053-07"/>
    <n v="1"/>
    <n v="0.91133004926108374"/>
    <s v="Average"/>
  </r>
  <r>
    <x v="52"/>
    <x v="7"/>
    <n v="197"/>
    <n v="141"/>
    <s v="EMP1053-08"/>
    <n v="1"/>
    <n v="0.71573604060913709"/>
    <s v="Poor"/>
  </r>
  <r>
    <x v="52"/>
    <x v="8"/>
    <n v="203"/>
    <n v="163"/>
    <s v="EMP1053-09"/>
    <n v="1"/>
    <n v="0.80295566502463056"/>
    <s v="Poor"/>
  </r>
  <r>
    <x v="52"/>
    <x v="9"/>
    <n v="207"/>
    <n v="188"/>
    <s v="EMP1053-10"/>
    <n v="1"/>
    <n v="0.90821256038647347"/>
    <s v="Average"/>
  </r>
  <r>
    <x v="52"/>
    <x v="10"/>
    <n v="203"/>
    <n v="171"/>
    <s v="EMP1053-11"/>
    <n v="1"/>
    <n v="0.8423645320197044"/>
    <s v="Poor"/>
  </r>
  <r>
    <x v="52"/>
    <x v="11"/>
    <n v="172"/>
    <n v="146"/>
    <s v="EMP1053-12"/>
    <n v="1"/>
    <n v="0.84883720930232553"/>
    <s v="Poor"/>
  </r>
  <r>
    <x v="53"/>
    <x v="0"/>
    <n v="16"/>
    <n v="16"/>
    <s v="EMP1054-01"/>
    <n v="1"/>
    <n v="1"/>
    <s v="Good"/>
  </r>
  <r>
    <x v="53"/>
    <x v="1"/>
    <n v="15"/>
    <n v="15"/>
    <s v="EMP1054-02"/>
    <n v="1"/>
    <n v="1"/>
    <s v="Good"/>
  </r>
  <r>
    <x v="53"/>
    <x v="2"/>
    <n v="16"/>
    <n v="15"/>
    <s v="EMP1054-03"/>
    <n v="1"/>
    <n v="0.9375"/>
    <s v="Average"/>
  </r>
  <r>
    <x v="53"/>
    <x v="3"/>
    <n v="16"/>
    <n v="16"/>
    <s v="EMP1054-04"/>
    <n v="1"/>
    <n v="1"/>
    <s v="Good"/>
  </r>
  <r>
    <x v="53"/>
    <x v="4"/>
    <n v="16"/>
    <n v="17"/>
    <s v="EMP1054-05"/>
    <n v="1"/>
    <n v="1.0625"/>
    <s v="Good"/>
  </r>
  <r>
    <x v="53"/>
    <x v="5"/>
    <n v="16"/>
    <n v="16"/>
    <s v="EMP1054-06"/>
    <n v="1"/>
    <n v="1"/>
    <s v="Good"/>
  </r>
  <r>
    <x v="53"/>
    <x v="6"/>
    <n v="16"/>
    <n v="15"/>
    <s v="EMP1054-07"/>
    <n v="1"/>
    <n v="0.9375"/>
    <s v="Average"/>
  </r>
  <r>
    <x v="53"/>
    <x v="7"/>
    <n v="16"/>
    <n v="15"/>
    <s v="EMP1054-08"/>
    <n v="1"/>
    <n v="0.9375"/>
    <s v="Average"/>
  </r>
  <r>
    <x v="53"/>
    <x v="8"/>
    <n v="16"/>
    <n v="15"/>
    <s v="EMP1054-09"/>
    <n v="1"/>
    <n v="0.9375"/>
    <s v="Average"/>
  </r>
  <r>
    <x v="53"/>
    <x v="9"/>
    <n v="16"/>
    <n v="16"/>
    <s v="EMP1054-10"/>
    <n v="1"/>
    <n v="1"/>
    <s v="Good"/>
  </r>
  <r>
    <x v="53"/>
    <x v="10"/>
    <n v="16"/>
    <n v="16"/>
    <s v="EMP1054-11"/>
    <n v="1"/>
    <n v="1"/>
    <s v="Good"/>
  </r>
  <r>
    <x v="53"/>
    <x v="11"/>
    <n v="14"/>
    <n v="13"/>
    <s v="EMP1054-12"/>
    <n v="1"/>
    <n v="0.9285714285714286"/>
    <s v="Average"/>
  </r>
  <r>
    <x v="54"/>
    <x v="0"/>
    <n v="55368"/>
    <n v="46890"/>
    <s v="EMP1055-01"/>
    <n v="1"/>
    <n v="0.8468790637191157"/>
    <s v="Poor"/>
  </r>
  <r>
    <x v="54"/>
    <x v="1"/>
    <n v="51492"/>
    <n v="45378"/>
    <s v="EMP1055-02"/>
    <n v="1"/>
    <n v="0.88126310883243997"/>
    <s v="Average"/>
  </r>
  <r>
    <x v="54"/>
    <x v="2"/>
    <n v="56475"/>
    <n v="46973"/>
    <s v="EMP1055-03"/>
    <n v="1"/>
    <n v="0.83174856131031427"/>
    <s v="Poor"/>
  </r>
  <r>
    <x v="54"/>
    <x v="3"/>
    <n v="55368"/>
    <n v="48729"/>
    <s v="EMP1055-04"/>
    <n v="1"/>
    <n v="0.8800931946250542"/>
    <s v="Average"/>
  </r>
  <r>
    <x v="54"/>
    <x v="4"/>
    <n v="55368"/>
    <n v="46357"/>
    <s v="EMP1055-05"/>
    <n v="1"/>
    <n v="0.83725256465828635"/>
    <s v="Poor"/>
  </r>
  <r>
    <x v="54"/>
    <x v="5"/>
    <n v="54261"/>
    <n v="47469"/>
    <s v="EMP1055-06"/>
    <n v="1"/>
    <n v="0.87482722397301926"/>
    <s v="Average"/>
  </r>
  <r>
    <x v="54"/>
    <x v="6"/>
    <n v="55368"/>
    <n v="59674"/>
    <s v="EMP1055-07"/>
    <n v="1"/>
    <n v="1.0777705533882387"/>
    <s v="Good"/>
  </r>
  <r>
    <x v="54"/>
    <x v="7"/>
    <n v="53707"/>
    <n v="47126"/>
    <s v="EMP1055-08"/>
    <n v="1"/>
    <n v="0.87746476250768057"/>
    <s v="Average"/>
  </r>
  <r>
    <x v="54"/>
    <x v="8"/>
    <n v="55368"/>
    <n v="68415"/>
    <s v="EMP1055-09"/>
    <n v="1"/>
    <n v="1.2356415257910707"/>
    <s v="Excellent"/>
  </r>
  <r>
    <x v="54"/>
    <x v="9"/>
    <n v="56475"/>
    <n v="57703"/>
    <s v="EMP1055-10"/>
    <n v="1"/>
    <n v="1.0217441345728198"/>
    <s v="Good"/>
  </r>
  <r>
    <x v="54"/>
    <x v="10"/>
    <n v="55368"/>
    <n v="60401"/>
    <s v="EMP1055-11"/>
    <n v="1"/>
    <n v="1.0909008813755239"/>
    <s v="Good"/>
  </r>
  <r>
    <x v="54"/>
    <x v="11"/>
    <n v="47063"/>
    <n v="48314"/>
    <s v="EMP1055-12"/>
    <n v="1"/>
    <n v="1.0265813909015575"/>
    <s v="Good"/>
  </r>
  <r>
    <x v="55"/>
    <x v="0"/>
    <n v="170"/>
    <n v="190"/>
    <s v="EMP1056-01"/>
    <n v="1"/>
    <n v="1.1176470588235294"/>
    <s v="Excellent"/>
  </r>
  <r>
    <x v="55"/>
    <x v="1"/>
    <n v="158"/>
    <n v="181"/>
    <s v="EMP1056-02"/>
    <n v="1"/>
    <n v="1.1455696202531647"/>
    <s v="Excellent"/>
  </r>
  <r>
    <x v="55"/>
    <x v="2"/>
    <n v="173"/>
    <n v="213"/>
    <s v="EMP1056-03"/>
    <n v="1"/>
    <n v="1.23121387283237"/>
    <s v="Excellent"/>
  </r>
  <r>
    <x v="55"/>
    <x v="3"/>
    <n v="170"/>
    <n v="193"/>
    <s v="EMP1056-04"/>
    <n v="1"/>
    <n v="1.1352941176470588"/>
    <s v="Excellent"/>
  </r>
  <r>
    <x v="55"/>
    <x v="4"/>
    <n v="170"/>
    <n v="201"/>
    <s v="EMP1056-05"/>
    <n v="1"/>
    <n v="1.1823529411764706"/>
    <s v="Excellent"/>
  </r>
  <r>
    <x v="55"/>
    <x v="5"/>
    <n v="167"/>
    <n v="186"/>
    <s v="EMP1056-06"/>
    <n v="1"/>
    <n v="1.1137724550898203"/>
    <s v="Excellent"/>
  </r>
  <r>
    <x v="55"/>
    <x v="6"/>
    <n v="170"/>
    <n v="193"/>
    <s v="EMP1056-07"/>
    <n v="1"/>
    <n v="1.1352941176470588"/>
    <s v="Excellent"/>
  </r>
  <r>
    <x v="55"/>
    <x v="7"/>
    <n v="165"/>
    <n v="193"/>
    <s v="EMP1056-08"/>
    <n v="1"/>
    <n v="1.1696969696969697"/>
    <s v="Excellent"/>
  </r>
  <r>
    <x v="55"/>
    <x v="8"/>
    <n v="170"/>
    <n v="190"/>
    <s v="EMP1056-09"/>
    <n v="1"/>
    <n v="1.1176470588235294"/>
    <s v="Excellent"/>
  </r>
  <r>
    <x v="55"/>
    <x v="9"/>
    <n v="173"/>
    <n v="208"/>
    <s v="EMP1056-10"/>
    <n v="1"/>
    <n v="1.2023121387283238"/>
    <s v="Excellent"/>
  </r>
  <r>
    <x v="55"/>
    <x v="10"/>
    <n v="170"/>
    <n v="198"/>
    <s v="EMP1056-11"/>
    <n v="1"/>
    <n v="1.1647058823529413"/>
    <s v="Excellent"/>
  </r>
  <r>
    <x v="55"/>
    <x v="11"/>
    <n v="144"/>
    <n v="154"/>
    <s v="EMP1056-12"/>
    <n v="1"/>
    <n v="1.0694444444444444"/>
    <s v="Good"/>
  </r>
  <r>
    <x v="56"/>
    <x v="0"/>
    <n v="20"/>
    <n v="20"/>
    <s v="EMP1057-01"/>
    <n v="1"/>
    <n v="1"/>
    <s v="Good"/>
  </r>
  <r>
    <x v="56"/>
    <x v="1"/>
    <n v="18"/>
    <n v="19"/>
    <s v="EMP1057-02"/>
    <n v="1"/>
    <n v="1.0555555555555556"/>
    <s v="Good"/>
  </r>
  <r>
    <x v="56"/>
    <x v="2"/>
    <n v="20"/>
    <n v="19"/>
    <s v="EMP1057-03"/>
    <n v="1"/>
    <n v="0.95"/>
    <s v="Average"/>
  </r>
  <r>
    <x v="56"/>
    <x v="3"/>
    <n v="20"/>
    <n v="20"/>
    <s v="EMP1057-04"/>
    <n v="1"/>
    <n v="1"/>
    <s v="Good"/>
  </r>
  <r>
    <x v="56"/>
    <x v="4"/>
    <n v="20"/>
    <n v="20"/>
    <s v="EMP1057-05"/>
    <n v="1"/>
    <n v="1"/>
    <s v="Good"/>
  </r>
  <r>
    <x v="56"/>
    <x v="5"/>
    <n v="19"/>
    <n v="19"/>
    <s v="EMP1057-06"/>
    <n v="1"/>
    <n v="1"/>
    <s v="Good"/>
  </r>
  <r>
    <x v="56"/>
    <x v="6"/>
    <n v="20"/>
    <n v="21"/>
    <s v="EMP1057-07"/>
    <n v="1"/>
    <n v="1.05"/>
    <s v="Good"/>
  </r>
  <r>
    <x v="56"/>
    <x v="7"/>
    <n v="19"/>
    <n v="19"/>
    <s v="EMP1057-08"/>
    <n v="1"/>
    <n v="1"/>
    <s v="Good"/>
  </r>
  <r>
    <x v="56"/>
    <x v="8"/>
    <n v="20"/>
    <n v="19"/>
    <s v="EMP1057-09"/>
    <n v="1"/>
    <n v="0.95"/>
    <s v="Average"/>
  </r>
  <r>
    <x v="56"/>
    <x v="9"/>
    <n v="20"/>
    <n v="21"/>
    <s v="EMP1057-10"/>
    <n v="1"/>
    <n v="1.05"/>
    <s v="Good"/>
  </r>
  <r>
    <x v="56"/>
    <x v="10"/>
    <n v="20"/>
    <n v="21"/>
    <s v="EMP1057-11"/>
    <n v="1"/>
    <n v="1.05"/>
    <s v="Good"/>
  </r>
  <r>
    <x v="56"/>
    <x v="11"/>
    <n v="17"/>
    <n v="18"/>
    <s v="EMP1057-12"/>
    <n v="1"/>
    <n v="1.0588235294117647"/>
    <s v="Good"/>
  </r>
  <r>
    <x v="57"/>
    <x v="6"/>
    <n v="18"/>
    <n v="19"/>
    <s v="EMP1058-07"/>
    <n v="1"/>
    <n v="1.0555555555555556"/>
    <s v="Good"/>
  </r>
  <r>
    <x v="57"/>
    <x v="7"/>
    <n v="18"/>
    <n v="19"/>
    <s v="EMP1058-08"/>
    <n v="1"/>
    <n v="1.0555555555555556"/>
    <s v="Good"/>
  </r>
  <r>
    <x v="57"/>
    <x v="8"/>
    <n v="18"/>
    <n v="18"/>
    <s v="EMP1058-09"/>
    <n v="1"/>
    <n v="1"/>
    <s v="Good"/>
  </r>
  <r>
    <x v="57"/>
    <x v="9"/>
    <n v="19"/>
    <n v="19"/>
    <s v="EMP1058-10"/>
    <n v="1"/>
    <n v="1"/>
    <s v="Good"/>
  </r>
  <r>
    <x v="57"/>
    <x v="10"/>
    <n v="18"/>
    <n v="19"/>
    <s v="EMP1058-11"/>
    <n v="1"/>
    <n v="1.0555555555555556"/>
    <s v="Good"/>
  </r>
  <r>
    <x v="57"/>
    <x v="11"/>
    <n v="16"/>
    <n v="16"/>
    <s v="EMP1058-12"/>
    <n v="1"/>
    <n v="1"/>
    <s v="Good"/>
  </r>
  <r>
    <x v="58"/>
    <x v="0"/>
    <n v="39"/>
    <n v="40"/>
    <s v="EMP1059-01"/>
    <n v="1"/>
    <n v="1.0256410256410255"/>
    <s v="Good"/>
  </r>
  <r>
    <x v="58"/>
    <x v="1"/>
    <n v="37"/>
    <n v="39"/>
    <s v="EMP1059-02"/>
    <n v="1"/>
    <n v="1.0540540540540539"/>
    <s v="Good"/>
  </r>
  <r>
    <x v="58"/>
    <x v="2"/>
    <n v="40"/>
    <n v="45"/>
    <s v="EMP1059-03"/>
    <n v="1"/>
    <n v="1.125"/>
    <s v="Excellent"/>
  </r>
  <r>
    <x v="58"/>
    <x v="3"/>
    <n v="39"/>
    <n v="42"/>
    <s v="EMP1059-04"/>
    <n v="1"/>
    <n v="1.0769230769230769"/>
    <s v="Good"/>
  </r>
  <r>
    <x v="58"/>
    <x v="4"/>
    <n v="39"/>
    <n v="43"/>
    <s v="EMP1059-05"/>
    <n v="1"/>
    <n v="1.1025641025641026"/>
    <s v="Excellent"/>
  </r>
  <r>
    <x v="58"/>
    <x v="5"/>
    <n v="39"/>
    <n v="42"/>
    <s v="EMP1059-06"/>
    <n v="1"/>
    <n v="1.0769230769230769"/>
    <s v="Good"/>
  </r>
  <r>
    <x v="58"/>
    <x v="6"/>
    <n v="39"/>
    <n v="42"/>
    <s v="EMP1059-07"/>
    <n v="1"/>
    <n v="1.0769230769230769"/>
    <s v="Good"/>
  </r>
  <r>
    <x v="58"/>
    <x v="7"/>
    <n v="38"/>
    <n v="41"/>
    <s v="EMP1059-08"/>
    <n v="1"/>
    <n v="1.0789473684210527"/>
    <s v="Good"/>
  </r>
  <r>
    <x v="58"/>
    <x v="8"/>
    <n v="39"/>
    <n v="42"/>
    <s v="EMP1059-09"/>
    <n v="1"/>
    <n v="1.0769230769230769"/>
    <s v="Good"/>
  </r>
  <r>
    <x v="58"/>
    <x v="9"/>
    <n v="40"/>
    <n v="44"/>
    <s v="EMP1059-10"/>
    <n v="1"/>
    <n v="1.1000000000000001"/>
    <s v="Excellent"/>
  </r>
  <r>
    <x v="58"/>
    <x v="10"/>
    <n v="39"/>
    <n v="42"/>
    <s v="EMP1059-11"/>
    <n v="1"/>
    <n v="1.0769230769230769"/>
    <s v="Good"/>
  </r>
  <r>
    <x v="58"/>
    <x v="11"/>
    <n v="34"/>
    <n v="35"/>
    <s v="EMP1059-12"/>
    <n v="1"/>
    <n v="1.0294117647058822"/>
    <s v="Good"/>
  </r>
  <r>
    <x v="59"/>
    <x v="0"/>
    <n v="167673"/>
    <n v="145458"/>
    <s v="EMP1060-01"/>
    <n v="1"/>
    <n v="0.86750997477232472"/>
    <s v="Average"/>
  </r>
  <r>
    <x v="59"/>
    <x v="1"/>
    <n v="155936"/>
    <n v="127625"/>
    <s v="EMP1060-02"/>
    <n v="1"/>
    <n v="0.81844474656269239"/>
    <s v="Poor"/>
  </r>
  <r>
    <x v="59"/>
    <x v="2"/>
    <n v="171027"/>
    <n v="174929"/>
    <s v="EMP1060-03"/>
    <n v="1"/>
    <n v="1.0228151110643349"/>
    <s v="Good"/>
  </r>
  <r>
    <x v="59"/>
    <x v="3"/>
    <n v="167673"/>
    <n v="135614"/>
    <s v="EMP1060-04"/>
    <n v="1"/>
    <n v="0.80880046280557993"/>
    <s v="Poor"/>
  </r>
  <r>
    <x v="59"/>
    <x v="4"/>
    <n v="167673"/>
    <n v="147646"/>
    <s v="EMP1060-05"/>
    <n v="1"/>
    <n v="0.88055918364912655"/>
    <s v="Average"/>
  </r>
  <r>
    <x v="59"/>
    <x v="5"/>
    <n v="164320"/>
    <n v="140706"/>
    <s v="EMP1060-06"/>
    <n v="1"/>
    <n v="0.85629259980525807"/>
    <s v="Average"/>
  </r>
  <r>
    <x v="59"/>
    <x v="6"/>
    <n v="167673"/>
    <n v="175377"/>
    <s v="EMP1060-07"/>
    <n v="1"/>
    <n v="1.0459465745826699"/>
    <s v="Good"/>
  </r>
  <r>
    <x v="59"/>
    <x v="7"/>
    <n v="162643"/>
    <n v="149945"/>
    <s v="EMP1060-08"/>
    <n v="1"/>
    <n v="0.92192716563270471"/>
    <s v="Average"/>
  </r>
  <r>
    <x v="59"/>
    <x v="8"/>
    <n v="167673"/>
    <n v="168758"/>
    <s v="EMP1060-09"/>
    <n v="1"/>
    <n v="1.0064709285335147"/>
    <s v="Good"/>
  </r>
  <r>
    <x v="59"/>
    <x v="9"/>
    <n v="171027"/>
    <n v="129248"/>
    <s v="EMP1060-10"/>
    <n v="1"/>
    <n v="0.75571693358358627"/>
    <s v="Poor"/>
  </r>
  <r>
    <x v="59"/>
    <x v="10"/>
    <n v="167673"/>
    <n v="173038"/>
    <s v="EMP1060-11"/>
    <n v="1"/>
    <n v="1.0319968033016647"/>
    <s v="Good"/>
  </r>
  <r>
    <x v="59"/>
    <x v="11"/>
    <n v="142522"/>
    <n v="161797"/>
    <s v="EMP1060-12"/>
    <n v="1"/>
    <n v="1.1352422783850915"/>
    <s v="Excellent"/>
  </r>
  <r>
    <x v="60"/>
    <x v="0"/>
    <n v="61543"/>
    <n v="61166"/>
    <s v="EMP1061-01"/>
    <n v="1"/>
    <n v="0.99387420177761887"/>
    <s v="Average"/>
  </r>
  <r>
    <x v="60"/>
    <x v="1"/>
    <n v="57235"/>
    <n v="49028"/>
    <s v="EMP1061-02"/>
    <n v="1"/>
    <n v="0.8566087184415131"/>
    <s v="Average"/>
  </r>
  <r>
    <x v="60"/>
    <x v="2"/>
    <n v="62774"/>
    <n v="67809"/>
    <s v="EMP1061-03"/>
    <n v="1"/>
    <n v="1.0802083665211712"/>
    <s v="Good"/>
  </r>
  <r>
    <x v="60"/>
    <x v="3"/>
    <n v="61543"/>
    <n v="72016"/>
    <s v="EMP1061-04"/>
    <n v="1"/>
    <n v="1.1701736996896479"/>
    <s v="Excellent"/>
  </r>
  <r>
    <x v="60"/>
    <x v="4"/>
    <n v="61543"/>
    <n v="55696"/>
    <s v="EMP1061-05"/>
    <n v="1"/>
    <n v="0.9049932567473149"/>
    <s v="Average"/>
  </r>
  <r>
    <x v="60"/>
    <x v="5"/>
    <n v="60312"/>
    <n v="54145"/>
    <s v="EMP1061-06"/>
    <n v="1"/>
    <n v="0.89774837511606309"/>
    <s v="Average"/>
  </r>
  <r>
    <x v="60"/>
    <x v="6"/>
    <n v="61543"/>
    <n v="66997"/>
    <s v="EMP1061-07"/>
    <n v="1"/>
    <n v="1.08862096420389"/>
    <s v="Good"/>
  </r>
  <r>
    <x v="60"/>
    <x v="7"/>
    <n v="59697"/>
    <n v="65801"/>
    <s v="EMP1061-08"/>
    <n v="1"/>
    <n v="1.1022496942894953"/>
    <s v="Excellent"/>
  </r>
  <r>
    <x v="60"/>
    <x v="8"/>
    <n v="61543"/>
    <n v="54960"/>
    <s v="EMP1061-09"/>
    <n v="1"/>
    <n v="0.89303413873226845"/>
    <s v="Average"/>
  </r>
  <r>
    <x v="60"/>
    <x v="9"/>
    <n v="62774"/>
    <n v="56765"/>
    <s v="EMP1061-10"/>
    <n v="1"/>
    <n v="0.90427565552617328"/>
    <s v="Average"/>
  </r>
  <r>
    <x v="60"/>
    <x v="10"/>
    <n v="61543"/>
    <n v="62721"/>
    <s v="EMP1061-11"/>
    <n v="1"/>
    <n v="1.0191410883447345"/>
    <s v="Good"/>
  </r>
  <r>
    <x v="60"/>
    <x v="11"/>
    <n v="52312"/>
    <n v="49898"/>
    <s v="EMP1061-12"/>
    <n v="1"/>
    <n v="0.95385380027527145"/>
    <s v="Average"/>
  </r>
  <r>
    <x v="61"/>
    <x v="0"/>
    <n v="158"/>
    <n v="121"/>
    <s v="EMP1062-01"/>
    <n v="1"/>
    <n v="0.76582278481012656"/>
    <s v="Poor"/>
  </r>
  <r>
    <x v="61"/>
    <x v="1"/>
    <n v="147"/>
    <n v="114"/>
    <s v="EMP1062-02"/>
    <n v="1"/>
    <n v="0.77551020408163263"/>
    <s v="Poor"/>
  </r>
  <r>
    <x v="61"/>
    <x v="2"/>
    <n v="161"/>
    <n v="132"/>
    <s v="EMP1062-03"/>
    <n v="1"/>
    <n v="0.81987577639751552"/>
    <s v="Poor"/>
  </r>
  <r>
    <x v="61"/>
    <x v="3"/>
    <n v="158"/>
    <n v="131"/>
    <s v="EMP1062-04"/>
    <n v="1"/>
    <n v="0.82911392405063289"/>
    <s v="Poor"/>
  </r>
  <r>
    <x v="61"/>
    <x v="4"/>
    <n v="158"/>
    <n v="143"/>
    <s v="EMP1062-05"/>
    <n v="1"/>
    <n v="0.90506329113924056"/>
    <s v="Average"/>
  </r>
  <r>
    <x v="61"/>
    <x v="5"/>
    <n v="155"/>
    <n v="118"/>
    <s v="EMP1062-06"/>
    <n v="1"/>
    <n v="0.76129032258064511"/>
    <s v="Poor"/>
  </r>
  <r>
    <x v="61"/>
    <x v="6"/>
    <n v="158"/>
    <n v="138"/>
    <s v="EMP1062-07"/>
    <n v="1"/>
    <n v="0.87341772151898733"/>
    <s v="Average"/>
  </r>
  <r>
    <x v="61"/>
    <x v="7"/>
    <n v="153"/>
    <n v="101"/>
    <s v="EMP1062-08"/>
    <n v="1"/>
    <n v="0.66013071895424835"/>
    <s v="Poor"/>
  </r>
  <r>
    <x v="61"/>
    <x v="8"/>
    <n v="158"/>
    <n v="121"/>
    <s v="EMP1062-09"/>
    <n v="1"/>
    <n v="0.76582278481012656"/>
    <s v="Poor"/>
  </r>
  <r>
    <x v="61"/>
    <x v="9"/>
    <n v="161"/>
    <n v="138"/>
    <s v="EMP1062-10"/>
    <n v="1"/>
    <n v="0.8571428571428571"/>
    <s v="Average"/>
  </r>
  <r>
    <x v="61"/>
    <x v="10"/>
    <n v="158"/>
    <n v="120"/>
    <s v="EMP1062-11"/>
    <n v="1"/>
    <n v="0.759493670886076"/>
    <s v="Poor"/>
  </r>
  <r>
    <x v="61"/>
    <x v="11"/>
    <n v="134"/>
    <n v="103"/>
    <s v="EMP1062-12"/>
    <n v="1"/>
    <n v="0.76865671641791045"/>
    <s v="Poor"/>
  </r>
  <r>
    <x v="62"/>
    <x v="0"/>
    <n v="187"/>
    <n v="172"/>
    <s v="EMP1063-01"/>
    <n v="1"/>
    <n v="0.9197860962566845"/>
    <s v="Average"/>
  </r>
  <r>
    <x v="62"/>
    <x v="1"/>
    <n v="173"/>
    <n v="158"/>
    <s v="EMP1063-02"/>
    <n v="1"/>
    <n v="0.91329479768786126"/>
    <s v="Average"/>
  </r>
  <r>
    <x v="62"/>
    <x v="2"/>
    <n v="190"/>
    <n v="198"/>
    <s v="EMP1063-03"/>
    <n v="1"/>
    <n v="1.0421052631578946"/>
    <s v="Good"/>
  </r>
  <r>
    <x v="62"/>
    <x v="3"/>
    <n v="187"/>
    <n v="160"/>
    <s v="EMP1063-04"/>
    <n v="1"/>
    <n v="0.85561497326203206"/>
    <s v="Average"/>
  </r>
  <r>
    <x v="62"/>
    <x v="4"/>
    <n v="187"/>
    <n v="162"/>
    <s v="EMP1063-05"/>
    <n v="1"/>
    <n v="0.86631016042780751"/>
    <s v="Average"/>
  </r>
  <r>
    <x v="62"/>
    <x v="5"/>
    <n v="183"/>
    <n v="157"/>
    <s v="EMP1063-06"/>
    <n v="1"/>
    <n v="0.85792349726775952"/>
    <s v="Average"/>
  </r>
  <r>
    <x v="62"/>
    <x v="6"/>
    <n v="187"/>
    <n v="143"/>
    <s v="EMP1063-07"/>
    <n v="1"/>
    <n v="0.76470588235294112"/>
    <s v="Poor"/>
  </r>
  <r>
    <x v="62"/>
    <x v="7"/>
    <n v="181"/>
    <n v="141"/>
    <s v="EMP1063-08"/>
    <n v="1"/>
    <n v="0.77900552486187846"/>
    <s v="Poor"/>
  </r>
  <r>
    <x v="62"/>
    <x v="8"/>
    <n v="187"/>
    <n v="182"/>
    <s v="EMP1063-09"/>
    <n v="1"/>
    <n v="0.9732620320855615"/>
    <s v="Average"/>
  </r>
  <r>
    <x v="62"/>
    <x v="9"/>
    <n v="190"/>
    <n v="187"/>
    <s v="EMP1063-10"/>
    <n v="1"/>
    <n v="0.98421052631578942"/>
    <s v="Average"/>
  </r>
  <r>
    <x v="62"/>
    <x v="10"/>
    <n v="187"/>
    <n v="172"/>
    <s v="EMP1063-11"/>
    <n v="1"/>
    <n v="0.9197860962566845"/>
    <s v="Average"/>
  </r>
  <r>
    <x v="62"/>
    <x v="11"/>
    <n v="159"/>
    <n v="142"/>
    <s v="EMP1063-12"/>
    <n v="1"/>
    <n v="0.89308176100628933"/>
    <s v="Average"/>
  </r>
  <r>
    <x v="63"/>
    <x v="0"/>
    <n v="184"/>
    <n v="162"/>
    <s v="EMP1064-01"/>
    <n v="1"/>
    <n v="0.88043478260869568"/>
    <s v="Average"/>
  </r>
  <r>
    <x v="63"/>
    <x v="1"/>
    <n v="172"/>
    <n v="163"/>
    <s v="EMP1064-02"/>
    <n v="1"/>
    <n v="0.94767441860465118"/>
    <s v="Average"/>
  </r>
  <r>
    <x v="63"/>
    <x v="2"/>
    <n v="188"/>
    <n v="173"/>
    <s v="EMP1064-03"/>
    <n v="1"/>
    <n v="0.92021276595744683"/>
    <s v="Average"/>
  </r>
  <r>
    <x v="63"/>
    <x v="3"/>
    <n v="184"/>
    <n v="152"/>
    <s v="EMP1064-04"/>
    <n v="1"/>
    <n v="0.82608695652173914"/>
    <s v="Poor"/>
  </r>
  <r>
    <x v="63"/>
    <x v="4"/>
    <n v="184"/>
    <n v="183"/>
    <s v="EMP1064-05"/>
    <n v="1"/>
    <n v="0.99456521739130432"/>
    <s v="Average"/>
  </r>
  <r>
    <x v="63"/>
    <x v="5"/>
    <n v="181"/>
    <n v="183"/>
    <s v="EMP1064-06"/>
    <n v="1"/>
    <n v="1.011049723756906"/>
    <s v="Good"/>
  </r>
  <r>
    <x v="63"/>
    <x v="6"/>
    <n v="184"/>
    <n v="161"/>
    <s v="EMP1064-07"/>
    <n v="1"/>
    <n v="0.875"/>
    <s v="Average"/>
  </r>
  <r>
    <x v="63"/>
    <x v="7"/>
    <n v="179"/>
    <n v="132"/>
    <s v="EMP1064-08"/>
    <n v="1"/>
    <n v="0.73743016759776536"/>
    <s v="Poor"/>
  </r>
  <r>
    <x v="63"/>
    <x v="8"/>
    <n v="184"/>
    <n v="161"/>
    <s v="EMP1064-09"/>
    <n v="1"/>
    <n v="0.875"/>
    <s v="Average"/>
  </r>
  <r>
    <x v="63"/>
    <x v="9"/>
    <n v="188"/>
    <n v="175"/>
    <s v="EMP1064-10"/>
    <n v="1"/>
    <n v="0.93085106382978722"/>
    <s v="Average"/>
  </r>
  <r>
    <x v="63"/>
    <x v="10"/>
    <n v="184"/>
    <n v="174"/>
    <s v="EMP1064-11"/>
    <n v="1"/>
    <n v="0.94565217391304346"/>
    <s v="Average"/>
  </r>
  <r>
    <x v="63"/>
    <x v="11"/>
    <n v="157"/>
    <n v="149"/>
    <s v="EMP1064-12"/>
    <n v="1"/>
    <n v="0.94904458598726116"/>
    <s v="Average"/>
  </r>
  <r>
    <x v="64"/>
    <x v="0"/>
    <n v="190"/>
    <n v="157"/>
    <s v="EMP1065-01"/>
    <n v="1"/>
    <n v="0.82631578947368423"/>
    <s v="Poor"/>
  </r>
  <r>
    <x v="64"/>
    <x v="1"/>
    <n v="177"/>
    <n v="140"/>
    <s v="EMP1065-02"/>
    <n v="1"/>
    <n v="0.79096045197740117"/>
    <s v="Poor"/>
  </r>
  <r>
    <x v="64"/>
    <x v="2"/>
    <n v="194"/>
    <n v="161"/>
    <s v="EMP1065-03"/>
    <n v="1"/>
    <n v="0.82989690721649489"/>
    <s v="Poor"/>
  </r>
  <r>
    <x v="64"/>
    <x v="3"/>
    <n v="190"/>
    <n v="165"/>
    <s v="EMP1065-04"/>
    <n v="1"/>
    <n v="0.86842105263157898"/>
    <s v="Average"/>
  </r>
  <r>
    <x v="64"/>
    <x v="4"/>
    <n v="190"/>
    <n v="184"/>
    <s v="EMP1065-05"/>
    <n v="1"/>
    <n v="0.96842105263157896"/>
    <s v="Average"/>
  </r>
  <r>
    <x v="64"/>
    <x v="5"/>
    <n v="187"/>
    <n v="157"/>
    <s v="EMP1065-06"/>
    <n v="1"/>
    <n v="0.83957219251336901"/>
    <s v="Poor"/>
  </r>
  <r>
    <x v="64"/>
    <x v="6"/>
    <n v="190"/>
    <n v="167"/>
    <s v="EMP1065-07"/>
    <n v="1"/>
    <n v="0.87894736842105259"/>
    <s v="Average"/>
  </r>
  <r>
    <x v="64"/>
    <x v="7"/>
    <n v="185"/>
    <n v="133"/>
    <s v="EMP1065-08"/>
    <n v="1"/>
    <n v="0.7189189189189189"/>
    <s v="Poor"/>
  </r>
  <r>
    <x v="64"/>
    <x v="8"/>
    <n v="190"/>
    <n v="168"/>
    <s v="EMP1065-09"/>
    <n v="1"/>
    <n v="0.88421052631578945"/>
    <s v="Average"/>
  </r>
  <r>
    <x v="64"/>
    <x v="9"/>
    <n v="194"/>
    <n v="195"/>
    <s v="EMP1065-10"/>
    <n v="1"/>
    <n v="1.0051546391752577"/>
    <s v="Good"/>
  </r>
  <r>
    <x v="64"/>
    <x v="10"/>
    <n v="190"/>
    <n v="159"/>
    <s v="EMP1065-11"/>
    <n v="1"/>
    <n v="0.83684210526315794"/>
    <s v="Poor"/>
  </r>
  <r>
    <x v="64"/>
    <x v="11"/>
    <n v="162"/>
    <n v="125"/>
    <s v="EMP1065-12"/>
    <n v="1"/>
    <n v="0.77160493827160492"/>
    <s v="Poor"/>
  </r>
  <r>
    <x v="65"/>
    <x v="2"/>
    <n v="106"/>
    <n v="124"/>
    <s v="EMP1066-03"/>
    <n v="1"/>
    <n v="1.1698113207547169"/>
    <s v="Excellent"/>
  </r>
  <r>
    <x v="65"/>
    <x v="3"/>
    <n v="104"/>
    <n v="121"/>
    <s v="EMP1066-04"/>
    <n v="1"/>
    <n v="1.1634615384615385"/>
    <s v="Excellent"/>
  </r>
  <r>
    <x v="65"/>
    <x v="4"/>
    <n v="104"/>
    <n v="112"/>
    <s v="EMP1066-05"/>
    <n v="1"/>
    <n v="1.0769230769230769"/>
    <s v="Good"/>
  </r>
  <r>
    <x v="65"/>
    <x v="5"/>
    <n v="102"/>
    <n v="109"/>
    <s v="EMP1066-06"/>
    <n v="1"/>
    <n v="1.0686274509803921"/>
    <s v="Good"/>
  </r>
  <r>
    <x v="65"/>
    <x v="6"/>
    <n v="104"/>
    <n v="113"/>
    <s v="EMP1066-07"/>
    <n v="1"/>
    <n v="1.0865384615384615"/>
    <s v="Good"/>
  </r>
  <r>
    <x v="65"/>
    <x v="7"/>
    <n v="101"/>
    <n v="113"/>
    <s v="EMP1066-08"/>
    <n v="1"/>
    <n v="1.1188118811881189"/>
    <s v="Excellent"/>
  </r>
  <r>
    <x v="65"/>
    <x v="8"/>
    <n v="104"/>
    <n v="114"/>
    <s v="EMP1066-09"/>
    <n v="1"/>
    <n v="1.0961538461538463"/>
    <s v="Good"/>
  </r>
  <r>
    <x v="65"/>
    <x v="9"/>
    <n v="106"/>
    <n v="114"/>
    <s v="EMP1066-10"/>
    <n v="1"/>
    <n v="1.0754716981132075"/>
    <s v="Good"/>
  </r>
  <r>
    <x v="65"/>
    <x v="10"/>
    <n v="104"/>
    <n v="127"/>
    <s v="EMP1066-11"/>
    <n v="1"/>
    <n v="1.2211538461538463"/>
    <s v="Excellent"/>
  </r>
  <r>
    <x v="65"/>
    <x v="11"/>
    <n v="89"/>
    <n v="100"/>
    <s v="EMP1066-12"/>
    <n v="1"/>
    <n v="1.1235955056179776"/>
    <s v="Excellent"/>
  </r>
  <r>
    <x v="66"/>
    <x v="0"/>
    <n v="59"/>
    <n v="67"/>
    <s v="EMP1067-01"/>
    <n v="1"/>
    <n v="1.1355932203389831"/>
    <s v="Excellent"/>
  </r>
  <r>
    <x v="66"/>
    <x v="1"/>
    <n v="55"/>
    <n v="61"/>
    <s v="EMP1067-02"/>
    <n v="1"/>
    <n v="1.1090909090909091"/>
    <s v="Excellent"/>
  </r>
  <r>
    <x v="66"/>
    <x v="2"/>
    <n v="60"/>
    <n v="65"/>
    <s v="EMP1067-03"/>
    <n v="1"/>
    <n v="1.0833333333333333"/>
    <s v="Good"/>
  </r>
  <r>
    <x v="66"/>
    <x v="3"/>
    <n v="59"/>
    <n v="68"/>
    <s v="EMP1067-04"/>
    <n v="1"/>
    <n v="1.152542372881356"/>
    <s v="Excellent"/>
  </r>
  <r>
    <x v="66"/>
    <x v="4"/>
    <n v="59"/>
    <n v="65"/>
    <s v="EMP1067-05"/>
    <n v="1"/>
    <n v="1.1016949152542372"/>
    <s v="Excellent"/>
  </r>
  <r>
    <x v="66"/>
    <x v="5"/>
    <n v="58"/>
    <n v="63"/>
    <s v="EMP1067-06"/>
    <n v="1"/>
    <n v="1.0862068965517242"/>
    <s v="Good"/>
  </r>
  <r>
    <x v="66"/>
    <x v="6"/>
    <n v="59"/>
    <n v="66"/>
    <s v="EMP1067-07"/>
    <n v="1"/>
    <n v="1.1186440677966101"/>
    <s v="Excellent"/>
  </r>
  <r>
    <x v="66"/>
    <x v="7"/>
    <n v="57"/>
    <n v="64"/>
    <s v="EMP1067-08"/>
    <n v="1"/>
    <n v="1.1228070175438596"/>
    <s v="Excellent"/>
  </r>
  <r>
    <x v="66"/>
    <x v="8"/>
    <n v="59"/>
    <n v="66"/>
    <s v="EMP1067-09"/>
    <n v="1"/>
    <n v="1.1186440677966101"/>
    <s v="Excellent"/>
  </r>
  <r>
    <x v="66"/>
    <x v="9"/>
    <n v="60"/>
    <n v="68"/>
    <s v="EMP1067-10"/>
    <n v="1"/>
    <n v="1.1333333333333333"/>
    <s v="Excellent"/>
  </r>
  <r>
    <x v="66"/>
    <x v="10"/>
    <n v="59"/>
    <n v="67"/>
    <s v="EMP1067-11"/>
    <n v="1"/>
    <n v="1.1355932203389831"/>
    <s v="Excellent"/>
  </r>
  <r>
    <x v="66"/>
    <x v="11"/>
    <n v="50"/>
    <n v="52"/>
    <s v="EMP1067-12"/>
    <n v="1"/>
    <n v="1.04"/>
    <s v="Good"/>
  </r>
  <r>
    <x v="67"/>
    <x v="0"/>
    <n v="79334"/>
    <n v="83420"/>
    <s v="EMP1068-01"/>
    <n v="1"/>
    <n v="1.0515037688758917"/>
    <s v="Good"/>
  </r>
  <r>
    <x v="67"/>
    <x v="1"/>
    <n v="73781"/>
    <n v="90330"/>
    <s v="EMP1068-02"/>
    <n v="1"/>
    <n v="1.2242989387511689"/>
    <s v="Excellent"/>
  </r>
  <r>
    <x v="67"/>
    <x v="2"/>
    <n v="80921"/>
    <n v="81578"/>
    <s v="EMP1068-03"/>
    <n v="1"/>
    <n v="1.0081190296709137"/>
    <s v="Good"/>
  </r>
  <r>
    <x v="67"/>
    <x v="3"/>
    <n v="79334"/>
    <n v="84210"/>
    <s v="EMP1068-04"/>
    <n v="1"/>
    <n v="1.0614616683893412"/>
    <s v="Good"/>
  </r>
  <r>
    <x v="67"/>
    <x v="4"/>
    <n v="79334"/>
    <n v="84450"/>
    <s v="EMP1068-05"/>
    <n v="1"/>
    <n v="1.0644868530516551"/>
    <s v="Good"/>
  </r>
  <r>
    <x v="67"/>
    <x v="5"/>
    <n v="77748"/>
    <n v="93087"/>
    <s v="EMP1068-06"/>
    <n v="1"/>
    <n v="1.1972912486494829"/>
    <s v="Excellent"/>
  </r>
  <r>
    <x v="67"/>
    <x v="6"/>
    <n v="79334"/>
    <n v="81716"/>
    <s v="EMP1068-07"/>
    <n v="1"/>
    <n v="1.0300249577734641"/>
    <s v="Good"/>
  </r>
  <r>
    <x v="67"/>
    <x v="7"/>
    <n v="76954"/>
    <n v="82145"/>
    <s v="EMP1068-08"/>
    <n v="1"/>
    <n v="1.0674558827351406"/>
    <s v="Good"/>
  </r>
  <r>
    <x v="67"/>
    <x v="8"/>
    <n v="79334"/>
    <n v="87294"/>
    <s v="EMP1068-09"/>
    <n v="1"/>
    <n v="1.100335291300073"/>
    <s v="Excellent"/>
  </r>
  <r>
    <x v="67"/>
    <x v="9"/>
    <n v="80921"/>
    <n v="85632"/>
    <s v="EMP1068-10"/>
    <n v="1"/>
    <n v="1.058217273637251"/>
    <s v="Good"/>
  </r>
  <r>
    <x v="67"/>
    <x v="10"/>
    <n v="79334"/>
    <n v="86863"/>
    <s v="EMP1068-11"/>
    <n v="1"/>
    <n v="1.0949025638440013"/>
    <s v="Good"/>
  </r>
  <r>
    <x v="67"/>
    <x v="11"/>
    <n v="67434"/>
    <n v="80851"/>
    <s v="EMP1068-12"/>
    <n v="1"/>
    <n v="1.1989649138416822"/>
    <s v="Excellent"/>
  </r>
  <r>
    <x v="68"/>
    <x v="0"/>
    <n v="54"/>
    <n v="56"/>
    <s v="EMP1069-01"/>
    <n v="1"/>
    <n v="1.037037037037037"/>
    <s v="Good"/>
  </r>
  <r>
    <x v="68"/>
    <x v="1"/>
    <n v="50"/>
    <n v="54"/>
    <s v="EMP1069-02"/>
    <n v="1"/>
    <n v="1.08"/>
    <s v="Good"/>
  </r>
  <r>
    <x v="68"/>
    <x v="2"/>
    <n v="55"/>
    <n v="58"/>
    <s v="EMP1069-03"/>
    <n v="1"/>
    <n v="1.0545454545454545"/>
    <s v="Good"/>
  </r>
  <r>
    <x v="68"/>
    <x v="3"/>
    <n v="54"/>
    <n v="60"/>
    <s v="EMP1069-04"/>
    <n v="1"/>
    <n v="1.1111111111111112"/>
    <s v="Excellent"/>
  </r>
  <r>
    <x v="68"/>
    <x v="4"/>
    <n v="54"/>
    <n v="55"/>
    <s v="EMP1069-05"/>
    <n v="1"/>
    <n v="1.0185185185185186"/>
    <s v="Good"/>
  </r>
  <r>
    <x v="68"/>
    <x v="5"/>
    <n v="53"/>
    <n v="56"/>
    <s v="EMP1069-06"/>
    <n v="1"/>
    <n v="1.0566037735849056"/>
    <s v="Good"/>
  </r>
  <r>
    <x v="68"/>
    <x v="6"/>
    <n v="54"/>
    <n v="59"/>
    <s v="EMP1069-07"/>
    <n v="1"/>
    <n v="1.0925925925925926"/>
    <s v="Good"/>
  </r>
  <r>
    <x v="68"/>
    <x v="7"/>
    <n v="52"/>
    <n v="58"/>
    <s v="EMP1069-08"/>
    <n v="1"/>
    <n v="1.1153846153846154"/>
    <s v="Excellent"/>
  </r>
  <r>
    <x v="68"/>
    <x v="8"/>
    <n v="54"/>
    <n v="58"/>
    <s v="EMP1069-09"/>
    <n v="1"/>
    <n v="1.0740740740740742"/>
    <s v="Good"/>
  </r>
  <r>
    <x v="68"/>
    <x v="9"/>
    <n v="55"/>
    <n v="59"/>
    <s v="EMP1069-10"/>
    <n v="1"/>
    <n v="1.0727272727272728"/>
    <s v="Good"/>
  </r>
  <r>
    <x v="68"/>
    <x v="10"/>
    <n v="54"/>
    <n v="62"/>
    <s v="EMP1069-11"/>
    <n v="1"/>
    <n v="1.1481481481481481"/>
    <s v="Excellent"/>
  </r>
  <r>
    <x v="68"/>
    <x v="11"/>
    <n v="46"/>
    <n v="45"/>
    <s v="EMP1069-12"/>
    <n v="1"/>
    <n v="0.97826086956521741"/>
    <s v="Average"/>
  </r>
  <r>
    <x v="69"/>
    <x v="0"/>
    <n v="57555"/>
    <n v="39121"/>
    <s v="EMP1070-01"/>
    <n v="1"/>
    <n v="0.67971505516462516"/>
    <s v="Poor"/>
  </r>
  <r>
    <x v="69"/>
    <x v="1"/>
    <n v="53527"/>
    <n v="32434"/>
    <s v="EMP1070-02"/>
    <n v="1"/>
    <n v="0.60593719057671824"/>
    <s v="Poor"/>
  </r>
  <r>
    <x v="69"/>
    <x v="2"/>
    <n v="58707"/>
    <n v="34286"/>
    <s v="EMP1070-03"/>
    <n v="1"/>
    <n v="0.58401894152315736"/>
    <s v="Poor"/>
  </r>
  <r>
    <x v="69"/>
    <x v="3"/>
    <n v="57555"/>
    <n v="43568"/>
    <s v="EMP1070-04"/>
    <n v="1"/>
    <n v="0.75698027973242987"/>
    <s v="Poor"/>
  </r>
  <r>
    <x v="69"/>
    <x v="4"/>
    <n v="57555"/>
    <n v="40894"/>
    <s v="EMP1070-05"/>
    <n v="1"/>
    <n v="0.71052037181826078"/>
    <s v="Poor"/>
  </r>
  <r>
    <x v="69"/>
    <x v="5"/>
    <n v="56404"/>
    <n v="35520"/>
    <s v="EMP1070-06"/>
    <n v="1"/>
    <n v="0.62974257144883339"/>
    <s v="Poor"/>
  </r>
  <r>
    <x v="69"/>
    <x v="6"/>
    <n v="57555"/>
    <n v="32122"/>
    <s v="EMP1070-07"/>
    <n v="1"/>
    <n v="0.55810963426287896"/>
    <s v="Poor"/>
  </r>
  <r>
    <x v="69"/>
    <x v="7"/>
    <n v="55829"/>
    <n v="43178"/>
    <s v="EMP1070-08"/>
    <n v="1"/>
    <n v="0.77339733830088309"/>
    <s v="Poor"/>
  </r>
  <r>
    <x v="69"/>
    <x v="8"/>
    <n v="57555"/>
    <n v="43233"/>
    <s v="EMP1070-09"/>
    <n v="1"/>
    <n v="0.75115976022934583"/>
    <s v="Poor"/>
  </r>
  <r>
    <x v="69"/>
    <x v="9"/>
    <n v="58707"/>
    <n v="39699"/>
    <s v="EMP1070-10"/>
    <n v="1"/>
    <n v="0.67622259696458686"/>
    <s v="Poor"/>
  </r>
  <r>
    <x v="69"/>
    <x v="10"/>
    <n v="57555"/>
    <n v="55875"/>
    <s v="EMP1070-11"/>
    <n v="1"/>
    <n v="0.97081052905916077"/>
    <s v="Average"/>
  </r>
  <r>
    <x v="69"/>
    <x v="11"/>
    <n v="48922"/>
    <n v="35182"/>
    <s v="EMP1070-12"/>
    <n v="1"/>
    <n v="0.71914476104819913"/>
    <s v="Poor"/>
  </r>
  <r>
    <x v="70"/>
    <x v="0"/>
    <n v="282"/>
    <n v="214"/>
    <s v="EMP1071-01"/>
    <n v="1"/>
    <n v="0.75886524822695034"/>
    <s v="Poor"/>
  </r>
  <r>
    <x v="70"/>
    <x v="1"/>
    <n v="263"/>
    <n v="210"/>
    <s v="EMP1071-02"/>
    <n v="1"/>
    <n v="0.79847908745247154"/>
    <s v="Poor"/>
  </r>
  <r>
    <x v="70"/>
    <x v="2"/>
    <n v="288"/>
    <n v="235"/>
    <s v="EMP1071-03"/>
    <n v="1"/>
    <n v="0.81597222222222221"/>
    <s v="Poor"/>
  </r>
  <r>
    <x v="70"/>
    <x v="3"/>
    <n v="282"/>
    <n v="222"/>
    <s v="EMP1071-04"/>
    <n v="1"/>
    <n v="0.78723404255319152"/>
    <s v="Poor"/>
  </r>
  <r>
    <x v="70"/>
    <x v="4"/>
    <n v="282"/>
    <n v="232"/>
    <s v="EMP1071-05"/>
    <n v="1"/>
    <n v="0.82269503546099287"/>
    <s v="Poor"/>
  </r>
  <r>
    <x v="70"/>
    <x v="5"/>
    <n v="277"/>
    <n v="201"/>
    <s v="EMP1071-06"/>
    <n v="1"/>
    <n v="0.72563176895306858"/>
    <s v="Poor"/>
  </r>
  <r>
    <x v="70"/>
    <x v="6"/>
    <n v="282"/>
    <n v="222"/>
    <s v="EMP1071-07"/>
    <n v="1"/>
    <n v="0.78723404255319152"/>
    <s v="Poor"/>
  </r>
  <r>
    <x v="70"/>
    <x v="7"/>
    <n v="274"/>
    <n v="196"/>
    <s v="EMP1071-08"/>
    <n v="1"/>
    <n v="0.71532846715328469"/>
    <s v="Poor"/>
  </r>
  <r>
    <x v="70"/>
    <x v="8"/>
    <n v="282"/>
    <n v="245"/>
    <s v="EMP1071-09"/>
    <n v="1"/>
    <n v="0.86879432624113473"/>
    <s v="Average"/>
  </r>
  <r>
    <x v="70"/>
    <x v="9"/>
    <n v="288"/>
    <n v="236"/>
    <s v="EMP1071-10"/>
    <n v="1"/>
    <n v="0.81944444444444442"/>
    <s v="Poor"/>
  </r>
  <r>
    <x v="70"/>
    <x v="10"/>
    <n v="282"/>
    <n v="247"/>
    <s v="EMP1071-11"/>
    <n v="1"/>
    <n v="0.87588652482269502"/>
    <s v="Average"/>
  </r>
  <r>
    <x v="70"/>
    <x v="11"/>
    <n v="240"/>
    <n v="210"/>
    <s v="EMP1071-12"/>
    <n v="1"/>
    <n v="0.875"/>
    <s v="Average"/>
  </r>
  <r>
    <x v="71"/>
    <x v="0"/>
    <n v="53952"/>
    <n v="52311"/>
    <s v="EMP1072-01"/>
    <n v="1"/>
    <n v="0.96958407473309605"/>
    <s v="Average"/>
  </r>
  <r>
    <x v="71"/>
    <x v="1"/>
    <n v="50175"/>
    <n v="53147"/>
    <s v="EMP1072-02"/>
    <n v="1"/>
    <n v="1.0592326856003986"/>
    <s v="Good"/>
  </r>
  <r>
    <x v="71"/>
    <x v="2"/>
    <n v="55031"/>
    <n v="53760"/>
    <s v="EMP1072-03"/>
    <n v="1"/>
    <n v="0.9769039268775781"/>
    <s v="Average"/>
  </r>
  <r>
    <x v="71"/>
    <x v="3"/>
    <n v="53952"/>
    <n v="55525"/>
    <s v="EMP1072-04"/>
    <n v="1"/>
    <n v="1.0291555456702255"/>
    <s v="Good"/>
  </r>
  <r>
    <x v="71"/>
    <x v="4"/>
    <n v="53952"/>
    <n v="51269"/>
    <s v="EMP1072-05"/>
    <n v="1"/>
    <n v="0.95027061091340448"/>
    <s v="Average"/>
  </r>
  <r>
    <x v="71"/>
    <x v="5"/>
    <n v="52873"/>
    <n v="58387"/>
    <s v="EMP1072-06"/>
    <n v="1"/>
    <n v="1.1042876326291302"/>
    <s v="Excellent"/>
  </r>
  <r>
    <x v="71"/>
    <x v="6"/>
    <n v="53952"/>
    <n v="48212"/>
    <s v="EMP1072-07"/>
    <n v="1"/>
    <n v="0.89360913404507714"/>
    <s v="Average"/>
  </r>
  <r>
    <x v="71"/>
    <x v="7"/>
    <n v="52333"/>
    <n v="59783"/>
    <s v="EMP1072-08"/>
    <n v="1"/>
    <n v="1.1423575946343607"/>
    <s v="Excellent"/>
  </r>
  <r>
    <x v="71"/>
    <x v="8"/>
    <n v="53952"/>
    <n v="51755"/>
    <s v="EMP1072-09"/>
    <n v="1"/>
    <n v="0.95927861803084225"/>
    <s v="Average"/>
  </r>
  <r>
    <x v="71"/>
    <x v="9"/>
    <n v="55031"/>
    <n v="45192"/>
    <s v="EMP1072-10"/>
    <n v="1"/>
    <n v="0.82120986353146408"/>
    <s v="Poor"/>
  </r>
  <r>
    <x v="71"/>
    <x v="10"/>
    <n v="53952"/>
    <n v="58166"/>
    <s v="EMP1072-11"/>
    <n v="1"/>
    <n v="1.0781064650059311"/>
    <s v="Good"/>
  </r>
  <r>
    <x v="71"/>
    <x v="11"/>
    <n v="45859"/>
    <n v="47610"/>
    <s v="EMP1072-12"/>
    <n v="1"/>
    <n v="1.0381822543012276"/>
    <s v="Good"/>
  </r>
  <r>
    <x v="72"/>
    <x v="0"/>
    <n v="233"/>
    <n v="204"/>
    <s v="EMP1073-01"/>
    <n v="1"/>
    <n v="0.87553648068669532"/>
    <s v="Average"/>
  </r>
  <r>
    <x v="72"/>
    <x v="1"/>
    <n v="217"/>
    <n v="193"/>
    <s v="EMP1073-02"/>
    <n v="1"/>
    <n v="0.88940092165898621"/>
    <s v="Average"/>
  </r>
  <r>
    <x v="72"/>
    <x v="2"/>
    <n v="238"/>
    <n v="193"/>
    <s v="EMP1073-03"/>
    <n v="1"/>
    <n v="0.81092436974789917"/>
    <s v="Poor"/>
  </r>
  <r>
    <x v="72"/>
    <x v="3"/>
    <n v="233"/>
    <n v="207"/>
    <s v="EMP1073-04"/>
    <n v="1"/>
    <n v="0.88841201716738194"/>
    <s v="Average"/>
  </r>
  <r>
    <x v="72"/>
    <x v="4"/>
    <n v="233"/>
    <n v="182"/>
    <s v="EMP1073-05"/>
    <n v="1"/>
    <n v="0.7811158798283262"/>
    <s v="Poor"/>
  </r>
  <r>
    <x v="72"/>
    <x v="5"/>
    <n v="229"/>
    <n v="190"/>
    <s v="EMP1073-06"/>
    <n v="1"/>
    <n v="0.82969432314410485"/>
    <s v="Poor"/>
  </r>
  <r>
    <x v="72"/>
    <x v="6"/>
    <n v="233"/>
    <n v="223"/>
    <s v="EMP1073-07"/>
    <n v="1"/>
    <n v="0.9570815450643777"/>
    <s v="Average"/>
  </r>
  <r>
    <x v="72"/>
    <x v="7"/>
    <n v="226"/>
    <n v="183"/>
    <s v="EMP1073-08"/>
    <n v="1"/>
    <n v="0.80973451327433632"/>
    <s v="Poor"/>
  </r>
  <r>
    <x v="72"/>
    <x v="8"/>
    <n v="233"/>
    <n v="208"/>
    <s v="EMP1073-09"/>
    <n v="1"/>
    <n v="0.89270386266094426"/>
    <s v="Average"/>
  </r>
  <r>
    <x v="72"/>
    <x v="9"/>
    <n v="238"/>
    <n v="206"/>
    <s v="EMP1073-10"/>
    <n v="1"/>
    <n v="0.86554621848739499"/>
    <s v="Average"/>
  </r>
  <r>
    <x v="72"/>
    <x v="10"/>
    <n v="233"/>
    <n v="214"/>
    <s v="EMP1073-11"/>
    <n v="1"/>
    <n v="0.91845493562231761"/>
    <s v="Average"/>
  </r>
  <r>
    <x v="72"/>
    <x v="11"/>
    <n v="198"/>
    <n v="169"/>
    <s v="EMP1073-12"/>
    <n v="1"/>
    <n v="0.85353535353535348"/>
    <s v="Average"/>
  </r>
  <r>
    <x v="73"/>
    <x v="0"/>
    <n v="21"/>
    <n v="21"/>
    <s v="EMP1074-01"/>
    <n v="1"/>
    <n v="1"/>
    <s v="Good"/>
  </r>
  <r>
    <x v="73"/>
    <x v="1"/>
    <n v="19"/>
    <n v="19"/>
    <s v="EMP1074-02"/>
    <n v="1"/>
    <n v="1"/>
    <s v="Good"/>
  </r>
  <r>
    <x v="73"/>
    <x v="2"/>
    <n v="21"/>
    <n v="20"/>
    <s v="EMP1074-03"/>
    <n v="1"/>
    <n v="0.95238095238095233"/>
    <s v="Average"/>
  </r>
  <r>
    <x v="73"/>
    <x v="3"/>
    <n v="21"/>
    <n v="20"/>
    <s v="EMP1074-04"/>
    <n v="1"/>
    <n v="0.95238095238095233"/>
    <s v="Average"/>
  </r>
  <r>
    <x v="73"/>
    <x v="4"/>
    <n v="21"/>
    <n v="21"/>
    <s v="EMP1074-05"/>
    <n v="1"/>
    <n v="1"/>
    <s v="Good"/>
  </r>
  <r>
    <x v="73"/>
    <x v="5"/>
    <n v="21"/>
    <n v="19"/>
    <s v="EMP1074-06"/>
    <n v="1"/>
    <n v="0.90476190476190477"/>
    <s v="Average"/>
  </r>
  <r>
    <x v="73"/>
    <x v="6"/>
    <n v="21"/>
    <n v="20"/>
    <s v="EMP1074-07"/>
    <n v="1"/>
    <n v="0.95238095238095233"/>
    <s v="Average"/>
  </r>
  <r>
    <x v="73"/>
    <x v="7"/>
    <n v="20"/>
    <n v="19"/>
    <s v="EMP1074-08"/>
    <n v="1"/>
    <n v="0.95"/>
    <s v="Average"/>
  </r>
  <r>
    <x v="73"/>
    <x v="8"/>
    <n v="21"/>
    <n v="20"/>
    <s v="EMP1074-09"/>
    <n v="1"/>
    <n v="0.95238095238095233"/>
    <s v="Average"/>
  </r>
  <r>
    <x v="73"/>
    <x v="9"/>
    <n v="21"/>
    <n v="20"/>
    <s v="EMP1074-10"/>
    <n v="1"/>
    <n v="0.95238095238095233"/>
    <s v="Average"/>
  </r>
  <r>
    <x v="73"/>
    <x v="10"/>
    <n v="21"/>
    <n v="22"/>
    <s v="EMP1074-11"/>
    <n v="1"/>
    <n v="1.0476190476190477"/>
    <s v="Good"/>
  </r>
  <r>
    <x v="73"/>
    <x v="11"/>
    <n v="18"/>
    <n v="18"/>
    <s v="EMP1074-12"/>
    <n v="1"/>
    <n v="1"/>
    <s v="Good"/>
  </r>
  <r>
    <x v="74"/>
    <x v="0"/>
    <n v="193"/>
    <n v="169"/>
    <s v="EMP1075-01"/>
    <n v="1"/>
    <n v="0.87564766839378239"/>
    <s v="Average"/>
  </r>
  <r>
    <x v="74"/>
    <x v="1"/>
    <n v="180"/>
    <n v="165"/>
    <s v="EMP1075-02"/>
    <n v="1"/>
    <n v="0.91666666666666663"/>
    <s v="Average"/>
  </r>
  <r>
    <x v="74"/>
    <x v="2"/>
    <n v="197"/>
    <n v="176"/>
    <s v="EMP1075-03"/>
    <n v="1"/>
    <n v="0.89340101522842641"/>
    <s v="Average"/>
  </r>
  <r>
    <x v="74"/>
    <x v="3"/>
    <n v="193"/>
    <n v="163"/>
    <s v="EMP1075-04"/>
    <n v="1"/>
    <n v="0.84455958549222798"/>
    <s v="Poor"/>
  </r>
  <r>
    <x v="74"/>
    <x v="4"/>
    <n v="193"/>
    <n v="156"/>
    <s v="EMP1075-05"/>
    <n v="1"/>
    <n v="0.80829015544041449"/>
    <s v="Poor"/>
  </r>
  <r>
    <x v="74"/>
    <x v="5"/>
    <n v="189"/>
    <n v="166"/>
    <s v="EMP1075-06"/>
    <n v="1"/>
    <n v="0.87830687830687826"/>
    <s v="Average"/>
  </r>
  <r>
    <x v="74"/>
    <x v="6"/>
    <n v="193"/>
    <n v="167"/>
    <s v="EMP1075-07"/>
    <n v="1"/>
    <n v="0.86528497409326421"/>
    <s v="Average"/>
  </r>
  <r>
    <x v="74"/>
    <x v="7"/>
    <n v="187"/>
    <n v="139"/>
    <s v="EMP1075-08"/>
    <n v="1"/>
    <n v="0.74331550802139035"/>
    <s v="Poor"/>
  </r>
  <r>
    <x v="74"/>
    <x v="8"/>
    <n v="193"/>
    <n v="160"/>
    <s v="EMP1075-09"/>
    <n v="1"/>
    <n v="0.82901554404145072"/>
    <s v="Poor"/>
  </r>
  <r>
    <x v="74"/>
    <x v="9"/>
    <n v="197"/>
    <n v="177"/>
    <s v="EMP1075-10"/>
    <n v="1"/>
    <n v="0.89847715736040612"/>
    <s v="Average"/>
  </r>
  <r>
    <x v="74"/>
    <x v="10"/>
    <n v="193"/>
    <n v="157"/>
    <s v="EMP1075-11"/>
    <n v="1"/>
    <n v="0.81347150259067358"/>
    <s v="Poor"/>
  </r>
  <r>
    <x v="74"/>
    <x v="11"/>
    <n v="164"/>
    <n v="139"/>
    <s v="EMP1075-12"/>
    <n v="1"/>
    <n v="0.84756097560975607"/>
    <s v="Poor"/>
  </r>
  <r>
    <x v="75"/>
    <x v="0"/>
    <n v="37"/>
    <n v="41"/>
    <s v="EMP1076-01"/>
    <n v="1"/>
    <n v="1.1081081081081081"/>
    <s v="Excellent"/>
  </r>
  <r>
    <x v="75"/>
    <x v="1"/>
    <n v="34"/>
    <n v="35"/>
    <s v="EMP1076-02"/>
    <n v="1"/>
    <n v="1.0294117647058822"/>
    <s v="Good"/>
  </r>
  <r>
    <x v="75"/>
    <x v="2"/>
    <n v="37"/>
    <n v="41"/>
    <s v="EMP1076-03"/>
    <n v="1"/>
    <n v="1.1081081081081081"/>
    <s v="Excellent"/>
  </r>
  <r>
    <x v="75"/>
    <x v="3"/>
    <n v="37"/>
    <n v="39"/>
    <s v="EMP1076-04"/>
    <n v="1"/>
    <n v="1.0540540540540539"/>
    <s v="Good"/>
  </r>
  <r>
    <x v="75"/>
    <x v="4"/>
    <n v="37"/>
    <n v="38"/>
    <s v="EMP1076-05"/>
    <n v="1"/>
    <n v="1.027027027027027"/>
    <s v="Good"/>
  </r>
  <r>
    <x v="75"/>
    <x v="5"/>
    <n v="36"/>
    <n v="37"/>
    <s v="EMP1076-06"/>
    <n v="1"/>
    <n v="1.0277777777777777"/>
    <s v="Good"/>
  </r>
  <r>
    <x v="75"/>
    <x v="6"/>
    <n v="37"/>
    <n v="38"/>
    <s v="EMP1076-07"/>
    <n v="1"/>
    <n v="1.027027027027027"/>
    <s v="Good"/>
  </r>
  <r>
    <x v="75"/>
    <x v="7"/>
    <n v="36"/>
    <n v="37"/>
    <s v="EMP1076-08"/>
    <n v="1"/>
    <n v="1.0277777777777777"/>
    <s v="Good"/>
  </r>
  <r>
    <x v="75"/>
    <x v="8"/>
    <n v="37"/>
    <n v="40"/>
    <s v="EMP1076-09"/>
    <n v="1"/>
    <n v="1.0810810810810811"/>
    <s v="Good"/>
  </r>
  <r>
    <x v="75"/>
    <x v="9"/>
    <n v="37"/>
    <n v="38"/>
    <s v="EMP1076-10"/>
    <n v="1"/>
    <n v="1.027027027027027"/>
    <s v="Good"/>
  </r>
  <r>
    <x v="75"/>
    <x v="10"/>
    <n v="37"/>
    <n v="39"/>
    <s v="EMP1076-11"/>
    <n v="1"/>
    <n v="1.0540540540540539"/>
    <s v="Good"/>
  </r>
  <r>
    <x v="75"/>
    <x v="11"/>
    <n v="31"/>
    <n v="34"/>
    <s v="EMP1076-12"/>
    <n v="1"/>
    <n v="1.096774193548387"/>
    <s v="Good"/>
  </r>
  <r>
    <x v="76"/>
    <x v="0"/>
    <n v="299"/>
    <n v="308"/>
    <s v="EMP1077-01"/>
    <n v="1"/>
    <n v="1.0301003344481605"/>
    <s v="Good"/>
  </r>
  <r>
    <x v="76"/>
    <x v="1"/>
    <n v="278"/>
    <n v="280"/>
    <s v="EMP1077-02"/>
    <n v="1"/>
    <n v="1.0071942446043165"/>
    <s v="Good"/>
  </r>
  <r>
    <x v="76"/>
    <x v="2"/>
    <n v="305"/>
    <n v="309"/>
    <s v="EMP1077-03"/>
    <n v="1"/>
    <n v="1.0131147540983607"/>
    <s v="Good"/>
  </r>
  <r>
    <x v="76"/>
    <x v="3"/>
    <n v="299"/>
    <n v="312"/>
    <s v="EMP1077-04"/>
    <n v="1"/>
    <n v="1.0434782608695652"/>
    <s v="Good"/>
  </r>
  <r>
    <x v="76"/>
    <x v="4"/>
    <n v="299"/>
    <n v="283"/>
    <s v="EMP1077-05"/>
    <n v="1"/>
    <n v="0.94648829431438131"/>
    <s v="Average"/>
  </r>
  <r>
    <x v="76"/>
    <x v="5"/>
    <n v="293"/>
    <n v="291"/>
    <s v="EMP1077-06"/>
    <n v="1"/>
    <n v="0.99317406143344711"/>
    <s v="Average"/>
  </r>
  <r>
    <x v="76"/>
    <x v="6"/>
    <n v="299"/>
    <n v="242"/>
    <s v="EMP1077-07"/>
    <n v="1"/>
    <n v="0.80936454849498329"/>
    <s v="Poor"/>
  </r>
  <r>
    <x v="76"/>
    <x v="7"/>
    <n v="290"/>
    <n v="277"/>
    <s v="EMP1077-08"/>
    <n v="1"/>
    <n v="0.95517241379310347"/>
    <s v="Average"/>
  </r>
  <r>
    <x v="76"/>
    <x v="8"/>
    <n v="299"/>
    <n v="314"/>
    <s v="EMP1077-09"/>
    <n v="1"/>
    <n v="1.0501672240802675"/>
    <s v="Good"/>
  </r>
  <r>
    <x v="76"/>
    <x v="9"/>
    <n v="305"/>
    <n v="300"/>
    <s v="EMP1077-10"/>
    <n v="1"/>
    <n v="0.98360655737704916"/>
    <s v="Average"/>
  </r>
  <r>
    <x v="76"/>
    <x v="10"/>
    <n v="299"/>
    <n v="347"/>
    <s v="EMP1077-11"/>
    <n v="1"/>
    <n v="1.1605351170568561"/>
    <s v="Excellent"/>
  </r>
  <r>
    <x v="76"/>
    <x v="11"/>
    <n v="255"/>
    <n v="250"/>
    <s v="EMP1077-12"/>
    <n v="1"/>
    <n v="0.98039215686274506"/>
    <s v="Average"/>
  </r>
  <r>
    <x v="77"/>
    <x v="5"/>
    <n v="61458"/>
    <n v="45892"/>
    <s v="EMP1078-06"/>
    <n v="1"/>
    <n v="0.7467213381496306"/>
    <s v="Poor"/>
  </r>
  <r>
    <x v="77"/>
    <x v="6"/>
    <n v="62713"/>
    <n v="52038"/>
    <s v="EMP1078-07"/>
    <n v="1"/>
    <n v="0.82978010938720836"/>
    <s v="Poor"/>
  </r>
  <r>
    <x v="77"/>
    <x v="7"/>
    <n v="60831"/>
    <n v="54412"/>
    <s v="EMP1078-08"/>
    <n v="1"/>
    <n v="0.8944781443671812"/>
    <s v="Average"/>
  </r>
  <r>
    <x v="77"/>
    <x v="8"/>
    <n v="62713"/>
    <n v="42721"/>
    <s v="EMP1078-09"/>
    <n v="1"/>
    <n v="0.68121442125237197"/>
    <s v="Poor"/>
  </r>
  <r>
    <x v="77"/>
    <x v="9"/>
    <n v="63967"/>
    <n v="53474"/>
    <s v="EMP1078-10"/>
    <n v="1"/>
    <n v="0.8359622930573577"/>
    <s v="Poor"/>
  </r>
  <r>
    <x v="77"/>
    <x v="10"/>
    <n v="62713"/>
    <n v="51754"/>
    <s v="EMP1078-11"/>
    <n v="1"/>
    <n v="0.82525154274233414"/>
    <s v="Poor"/>
  </r>
  <r>
    <x v="77"/>
    <x v="11"/>
    <n v="53306"/>
    <n v="45461"/>
    <s v="EMP1078-12"/>
    <n v="1"/>
    <n v="0.85283082579822156"/>
    <s v="Average"/>
  </r>
  <r>
    <x v="78"/>
    <x v="2"/>
    <n v="13"/>
    <n v="13"/>
    <s v="EMP1079-03"/>
    <n v="1"/>
    <n v="1"/>
    <s v="Good"/>
  </r>
  <r>
    <x v="78"/>
    <x v="3"/>
    <n v="12"/>
    <n v="11"/>
    <s v="EMP1079-04"/>
    <n v="1"/>
    <n v="0.91666666666666663"/>
    <s v="Average"/>
  </r>
  <r>
    <x v="78"/>
    <x v="4"/>
    <n v="12"/>
    <n v="13"/>
    <s v="EMP1079-05"/>
    <n v="1"/>
    <n v="1.0833333333333333"/>
    <s v="Good"/>
  </r>
  <r>
    <x v="78"/>
    <x v="5"/>
    <n v="12"/>
    <n v="13"/>
    <s v="EMP1079-06"/>
    <n v="1"/>
    <n v="1.0833333333333333"/>
    <s v="Good"/>
  </r>
  <r>
    <x v="78"/>
    <x v="6"/>
    <n v="12"/>
    <n v="12"/>
    <s v="EMP1079-07"/>
    <n v="1"/>
    <n v="1"/>
    <s v="Good"/>
  </r>
  <r>
    <x v="78"/>
    <x v="7"/>
    <n v="12"/>
    <n v="12"/>
    <s v="EMP1079-08"/>
    <n v="1"/>
    <n v="1"/>
    <s v="Good"/>
  </r>
  <r>
    <x v="78"/>
    <x v="8"/>
    <n v="12"/>
    <n v="12"/>
    <s v="EMP1079-09"/>
    <n v="1"/>
    <n v="1"/>
    <s v="Good"/>
  </r>
  <r>
    <x v="78"/>
    <x v="9"/>
    <n v="13"/>
    <n v="13"/>
    <s v="EMP1079-10"/>
    <n v="1"/>
    <n v="1"/>
    <s v="Good"/>
  </r>
  <r>
    <x v="78"/>
    <x v="10"/>
    <n v="12"/>
    <n v="12"/>
    <s v="EMP1079-11"/>
    <n v="1"/>
    <n v="1"/>
    <s v="Good"/>
  </r>
  <r>
    <x v="78"/>
    <x v="11"/>
    <n v="11"/>
    <n v="11"/>
    <s v="EMP1079-12"/>
    <n v="1"/>
    <n v="1"/>
    <s v="Good"/>
  </r>
  <r>
    <x v="79"/>
    <x v="0"/>
    <n v="54713"/>
    <n v="54154"/>
    <s v="EMP1080-01"/>
    <n v="1"/>
    <n v="0.98978304973223918"/>
    <s v="Average"/>
  </r>
  <r>
    <x v="79"/>
    <x v="1"/>
    <n v="50883"/>
    <n v="48232"/>
    <s v="EMP1080-02"/>
    <n v="1"/>
    <n v="0.94790008450759589"/>
    <s v="Average"/>
  </r>
  <r>
    <x v="79"/>
    <x v="2"/>
    <n v="55807"/>
    <n v="49523"/>
    <s v="EMP1080-03"/>
    <n v="1"/>
    <n v="0.88739763828910356"/>
    <s v="Average"/>
  </r>
  <r>
    <x v="79"/>
    <x v="3"/>
    <n v="54713"/>
    <n v="54857"/>
    <s v="EMP1080-04"/>
    <n v="1"/>
    <n v="1.0026319156324823"/>
    <s v="Good"/>
  </r>
  <r>
    <x v="79"/>
    <x v="4"/>
    <n v="54713"/>
    <n v="35104"/>
    <s v="EMP1080-05"/>
    <n v="1"/>
    <n v="0.64160254418511142"/>
    <s v="Poor"/>
  </r>
  <r>
    <x v="79"/>
    <x v="5"/>
    <n v="53619"/>
    <n v="55890"/>
    <s v="EMP1080-06"/>
    <n v="1"/>
    <n v="1.0423543893022995"/>
    <s v="Good"/>
  </r>
  <r>
    <x v="79"/>
    <x v="6"/>
    <n v="54713"/>
    <n v="41280"/>
    <s v="EMP1080-07"/>
    <n v="1"/>
    <n v="0.75448248131157125"/>
    <s v="Poor"/>
  </r>
  <r>
    <x v="79"/>
    <x v="7"/>
    <n v="53072"/>
    <n v="47406"/>
    <s v="EMP1080-08"/>
    <n v="1"/>
    <n v="0.89323937292734401"/>
    <s v="Average"/>
  </r>
  <r>
    <x v="79"/>
    <x v="8"/>
    <n v="54713"/>
    <n v="44784"/>
    <s v="EMP1080-09"/>
    <n v="1"/>
    <n v="0.81852576170197211"/>
    <s v="Poor"/>
  </r>
  <r>
    <x v="79"/>
    <x v="9"/>
    <n v="55807"/>
    <n v="44758"/>
    <s v="EMP1080-10"/>
    <n v="1"/>
    <n v="0.80201408425466336"/>
    <s v="Poor"/>
  </r>
  <r>
    <x v="79"/>
    <x v="10"/>
    <n v="54713"/>
    <n v="62843"/>
    <s v="EMP1080-11"/>
    <n v="1"/>
    <n v="1.1485935700838923"/>
    <s v="Excellent"/>
  </r>
  <r>
    <x v="79"/>
    <x v="11"/>
    <n v="46506"/>
    <n v="47749"/>
    <s v="EMP1080-12"/>
    <n v="1"/>
    <n v="1.0267277340558207"/>
    <s v="Good"/>
  </r>
  <r>
    <x v="80"/>
    <x v="0"/>
    <n v="44"/>
    <n v="47"/>
    <s v="EMP1081-01"/>
    <n v="1"/>
    <n v="1.0681818181818181"/>
    <s v="Good"/>
  </r>
  <r>
    <x v="80"/>
    <x v="1"/>
    <n v="41"/>
    <n v="45"/>
    <s v="EMP1081-02"/>
    <n v="1"/>
    <n v="1.0975609756097562"/>
    <s v="Good"/>
  </r>
  <r>
    <x v="80"/>
    <x v="2"/>
    <n v="44"/>
    <n v="47"/>
    <s v="EMP1081-03"/>
    <n v="1"/>
    <n v="1.0681818181818181"/>
    <s v="Good"/>
  </r>
  <r>
    <x v="80"/>
    <x v="3"/>
    <n v="44"/>
    <n v="45"/>
    <s v="EMP1081-04"/>
    <n v="1"/>
    <n v="1.0227272727272727"/>
    <s v="Good"/>
  </r>
  <r>
    <x v="80"/>
    <x v="4"/>
    <n v="44"/>
    <n v="49"/>
    <s v="EMP1081-05"/>
    <n v="1"/>
    <n v="1.1136363636363635"/>
    <s v="Excellent"/>
  </r>
  <r>
    <x v="80"/>
    <x v="5"/>
    <n v="43"/>
    <n v="45"/>
    <s v="EMP1081-06"/>
    <n v="1"/>
    <n v="1.0465116279069768"/>
    <s v="Good"/>
  </r>
  <r>
    <x v="80"/>
    <x v="6"/>
    <n v="44"/>
    <n v="45"/>
    <s v="EMP1081-07"/>
    <n v="1"/>
    <n v="1.0227272727272727"/>
    <s v="Good"/>
  </r>
  <r>
    <x v="80"/>
    <x v="7"/>
    <n v="42"/>
    <n v="43"/>
    <s v="EMP1081-08"/>
    <n v="1"/>
    <n v="1.0238095238095237"/>
    <s v="Good"/>
  </r>
  <r>
    <x v="80"/>
    <x v="8"/>
    <n v="44"/>
    <n v="50"/>
    <s v="EMP1081-09"/>
    <n v="1"/>
    <n v="1.1363636363636365"/>
    <s v="Excellent"/>
  </r>
  <r>
    <x v="80"/>
    <x v="9"/>
    <n v="44"/>
    <n v="49"/>
    <s v="EMP1081-10"/>
    <n v="1"/>
    <n v="1.1136363636363635"/>
    <s v="Excellent"/>
  </r>
  <r>
    <x v="80"/>
    <x v="10"/>
    <n v="44"/>
    <n v="47"/>
    <s v="EMP1081-11"/>
    <n v="1"/>
    <n v="1.0681818181818181"/>
    <s v="Good"/>
  </r>
  <r>
    <x v="80"/>
    <x v="11"/>
    <n v="37"/>
    <n v="38"/>
    <s v="EMP1081-12"/>
    <n v="1"/>
    <n v="1.027027027027027"/>
    <s v="Good"/>
  </r>
  <r>
    <x v="81"/>
    <x v="0"/>
    <n v="54216"/>
    <n v="55250"/>
    <s v="EMP1082-01"/>
    <n v="1"/>
    <n v="1.0190718607053268"/>
    <s v="Good"/>
  </r>
  <r>
    <x v="81"/>
    <x v="1"/>
    <n v="50421"/>
    <n v="43863"/>
    <s v="EMP1082-02"/>
    <n v="1"/>
    <n v="0.86993514607008982"/>
    <s v="Average"/>
  </r>
  <r>
    <x v="81"/>
    <x v="2"/>
    <n v="55300"/>
    <n v="50083"/>
    <s v="EMP1082-03"/>
    <n v="1"/>
    <n v="0.90566003616636526"/>
    <s v="Average"/>
  </r>
  <r>
    <x v="81"/>
    <x v="3"/>
    <n v="54216"/>
    <n v="52411"/>
    <s v="EMP1082-04"/>
    <n v="1"/>
    <n v="0.96670724509369932"/>
    <s v="Average"/>
  </r>
  <r>
    <x v="81"/>
    <x v="4"/>
    <n v="54216"/>
    <n v="48173"/>
    <s v="EMP1082-05"/>
    <n v="1"/>
    <n v="0.88853843883724359"/>
    <s v="Average"/>
  </r>
  <r>
    <x v="81"/>
    <x v="5"/>
    <n v="53131"/>
    <n v="44618"/>
    <s v="EMP1082-06"/>
    <n v="1"/>
    <n v="0.83977339029944853"/>
    <s v="Poor"/>
  </r>
  <r>
    <x v="81"/>
    <x v="6"/>
    <n v="54216"/>
    <n v="45923"/>
    <s v="EMP1082-07"/>
    <n v="1"/>
    <n v="0.84703777482661946"/>
    <s v="Poor"/>
  </r>
  <r>
    <x v="81"/>
    <x v="7"/>
    <n v="52589"/>
    <n v="45254"/>
    <s v="EMP1082-08"/>
    <n v="1"/>
    <n v="0.86052216242940538"/>
    <s v="Average"/>
  </r>
  <r>
    <x v="81"/>
    <x v="8"/>
    <n v="54216"/>
    <n v="46896"/>
    <s v="EMP1082-09"/>
    <n v="1"/>
    <n v="0.86498450641876934"/>
    <s v="Average"/>
  </r>
  <r>
    <x v="81"/>
    <x v="9"/>
    <n v="55300"/>
    <n v="52118"/>
    <s v="EMP1082-10"/>
    <n v="1"/>
    <n v="0.9424593128390597"/>
    <s v="Average"/>
  </r>
  <r>
    <x v="81"/>
    <x v="10"/>
    <n v="54216"/>
    <n v="52910"/>
    <s v="EMP1082-11"/>
    <n v="1"/>
    <n v="0.97591117013427775"/>
    <s v="Average"/>
  </r>
  <r>
    <x v="81"/>
    <x v="11"/>
    <n v="46083"/>
    <n v="49998"/>
    <s v="EMP1082-12"/>
    <n v="1"/>
    <n v="1.0849554065490528"/>
    <s v="Good"/>
  </r>
  <r>
    <x v="82"/>
    <x v="0"/>
    <n v="258"/>
    <n v="234"/>
    <s v="EMP1083-01"/>
    <n v="1"/>
    <n v="0.90697674418604646"/>
    <s v="Average"/>
  </r>
  <r>
    <x v="82"/>
    <x v="1"/>
    <n v="240"/>
    <n v="188"/>
    <s v="EMP1083-02"/>
    <n v="1"/>
    <n v="0.78333333333333333"/>
    <s v="Poor"/>
  </r>
  <r>
    <x v="82"/>
    <x v="2"/>
    <n v="263"/>
    <n v="252"/>
    <s v="EMP1083-03"/>
    <n v="1"/>
    <n v="0.95817490494296575"/>
    <s v="Average"/>
  </r>
  <r>
    <x v="82"/>
    <x v="3"/>
    <n v="258"/>
    <n v="239"/>
    <s v="EMP1083-04"/>
    <n v="1"/>
    <n v="0.9263565891472868"/>
    <s v="Average"/>
  </r>
  <r>
    <x v="82"/>
    <x v="4"/>
    <n v="258"/>
    <n v="249"/>
    <s v="EMP1083-05"/>
    <n v="1"/>
    <n v="0.96511627906976749"/>
    <s v="Average"/>
  </r>
  <r>
    <x v="82"/>
    <x v="5"/>
    <n v="253"/>
    <n v="185"/>
    <s v="EMP1083-06"/>
    <n v="1"/>
    <n v="0.73122529644268774"/>
    <s v="Poor"/>
  </r>
  <r>
    <x v="82"/>
    <x v="6"/>
    <n v="258"/>
    <n v="240"/>
    <s v="EMP1083-07"/>
    <n v="1"/>
    <n v="0.93023255813953487"/>
    <s v="Average"/>
  </r>
  <r>
    <x v="82"/>
    <x v="7"/>
    <n v="250"/>
    <n v="204"/>
    <s v="EMP1083-08"/>
    <n v="1"/>
    <n v="0.81599999999999995"/>
    <s v="Poor"/>
  </r>
  <r>
    <x v="82"/>
    <x v="8"/>
    <n v="258"/>
    <n v="250"/>
    <s v="EMP1083-09"/>
    <n v="1"/>
    <n v="0.96899224806201545"/>
    <s v="Average"/>
  </r>
  <r>
    <x v="82"/>
    <x v="9"/>
    <n v="263"/>
    <n v="221"/>
    <s v="EMP1083-10"/>
    <n v="1"/>
    <n v="0.84030418250950567"/>
    <s v="Poor"/>
  </r>
  <r>
    <x v="82"/>
    <x v="10"/>
    <n v="258"/>
    <n v="256"/>
    <s v="EMP1083-11"/>
    <n v="1"/>
    <n v="0.99224806201550386"/>
    <s v="Average"/>
  </r>
  <r>
    <x v="82"/>
    <x v="11"/>
    <n v="219"/>
    <n v="193"/>
    <s v="EMP1083-12"/>
    <n v="1"/>
    <n v="0.88127853881278539"/>
    <s v="Average"/>
  </r>
  <r>
    <x v="83"/>
    <x v="0"/>
    <n v="49"/>
    <n v="51"/>
    <s v="EMP1084-01"/>
    <n v="1"/>
    <n v="1.0408163265306123"/>
    <s v="Good"/>
  </r>
  <r>
    <x v="83"/>
    <x v="1"/>
    <n v="46"/>
    <n v="46"/>
    <s v="EMP1084-02"/>
    <n v="1"/>
    <n v="1"/>
    <s v="Good"/>
  </r>
  <r>
    <x v="83"/>
    <x v="2"/>
    <n v="50"/>
    <n v="51"/>
    <s v="EMP1084-03"/>
    <n v="1"/>
    <n v="1.02"/>
    <s v="Good"/>
  </r>
  <r>
    <x v="83"/>
    <x v="3"/>
    <n v="49"/>
    <n v="51"/>
    <s v="EMP1084-04"/>
    <n v="1"/>
    <n v="1.0408163265306123"/>
    <s v="Good"/>
  </r>
  <r>
    <x v="83"/>
    <x v="4"/>
    <n v="49"/>
    <n v="50"/>
    <s v="EMP1084-05"/>
    <n v="1"/>
    <n v="1.0204081632653061"/>
    <s v="Good"/>
  </r>
  <r>
    <x v="83"/>
    <x v="5"/>
    <n v="48"/>
    <n v="49"/>
    <s v="EMP1084-06"/>
    <n v="1"/>
    <n v="1.0208333333333333"/>
    <s v="Good"/>
  </r>
  <r>
    <x v="83"/>
    <x v="6"/>
    <n v="49"/>
    <n v="50"/>
    <s v="EMP1084-07"/>
    <n v="1"/>
    <n v="1.0204081632653061"/>
    <s v="Good"/>
  </r>
  <r>
    <x v="83"/>
    <x v="7"/>
    <n v="48"/>
    <n v="53"/>
    <s v="EMP1084-08"/>
    <n v="1"/>
    <n v="1.1041666666666667"/>
    <s v="Excellent"/>
  </r>
  <r>
    <x v="83"/>
    <x v="8"/>
    <n v="49"/>
    <n v="50"/>
    <s v="EMP1084-09"/>
    <n v="1"/>
    <n v="1.0204081632653061"/>
    <s v="Good"/>
  </r>
  <r>
    <x v="83"/>
    <x v="9"/>
    <n v="50"/>
    <n v="51"/>
    <s v="EMP1084-10"/>
    <n v="1"/>
    <n v="1.02"/>
    <s v="Good"/>
  </r>
  <r>
    <x v="83"/>
    <x v="10"/>
    <n v="49"/>
    <n v="52"/>
    <s v="EMP1084-11"/>
    <n v="1"/>
    <n v="1.0612244897959184"/>
    <s v="Good"/>
  </r>
  <r>
    <x v="83"/>
    <x v="11"/>
    <n v="42"/>
    <n v="44"/>
    <s v="EMP1084-12"/>
    <n v="1"/>
    <n v="1.0476190476190477"/>
    <s v="Good"/>
  </r>
  <r>
    <x v="84"/>
    <x v="0"/>
    <n v="26"/>
    <n v="29"/>
    <s v="EMP1085-01"/>
    <n v="1"/>
    <n v="1.1153846153846154"/>
    <s v="Excellent"/>
  </r>
  <r>
    <x v="84"/>
    <x v="1"/>
    <n v="25"/>
    <n v="27"/>
    <s v="EMP1085-02"/>
    <n v="1"/>
    <n v="1.08"/>
    <s v="Good"/>
  </r>
  <r>
    <x v="84"/>
    <x v="2"/>
    <n v="27"/>
    <n v="31"/>
    <s v="EMP1085-03"/>
    <n v="1"/>
    <n v="1.1481481481481481"/>
    <s v="Excellent"/>
  </r>
  <r>
    <x v="84"/>
    <x v="3"/>
    <n v="26"/>
    <n v="28"/>
    <s v="EMP1085-04"/>
    <n v="1"/>
    <n v="1.0769230769230769"/>
    <s v="Good"/>
  </r>
  <r>
    <x v="84"/>
    <x v="4"/>
    <n v="26"/>
    <n v="29"/>
    <s v="EMP1085-05"/>
    <n v="1"/>
    <n v="1.1153846153846154"/>
    <s v="Excellent"/>
  </r>
  <r>
    <x v="84"/>
    <x v="5"/>
    <n v="26"/>
    <n v="28"/>
    <s v="EMP1085-06"/>
    <n v="1"/>
    <n v="1.0769230769230769"/>
    <s v="Good"/>
  </r>
  <r>
    <x v="84"/>
    <x v="6"/>
    <n v="26"/>
    <n v="29"/>
    <s v="EMP1085-07"/>
    <n v="1"/>
    <n v="1.1153846153846154"/>
    <s v="Excellent"/>
  </r>
  <r>
    <x v="84"/>
    <x v="7"/>
    <n v="26"/>
    <n v="28"/>
    <s v="EMP1085-08"/>
    <n v="1"/>
    <n v="1.0769230769230769"/>
    <s v="Good"/>
  </r>
  <r>
    <x v="84"/>
    <x v="8"/>
    <n v="26"/>
    <n v="29"/>
    <s v="EMP1085-09"/>
    <n v="1"/>
    <n v="1.1153846153846154"/>
    <s v="Excellent"/>
  </r>
  <r>
    <x v="84"/>
    <x v="9"/>
    <n v="27"/>
    <n v="31"/>
    <s v="EMP1085-10"/>
    <n v="1"/>
    <n v="1.1481481481481481"/>
    <s v="Excellent"/>
  </r>
  <r>
    <x v="84"/>
    <x v="10"/>
    <n v="26"/>
    <n v="30"/>
    <s v="EMP1085-11"/>
    <n v="1"/>
    <n v="1.1538461538461537"/>
    <s v="Excellent"/>
  </r>
  <r>
    <x v="84"/>
    <x v="11"/>
    <n v="23"/>
    <n v="25"/>
    <s v="EMP1085-12"/>
    <n v="1"/>
    <n v="1.0869565217391304"/>
    <s v="Good"/>
  </r>
  <r>
    <x v="85"/>
    <x v="0"/>
    <n v="36"/>
    <n v="40"/>
    <s v="EMP1086-01"/>
    <n v="1"/>
    <n v="1.1111111111111112"/>
    <s v="Excellent"/>
  </r>
  <r>
    <x v="85"/>
    <x v="1"/>
    <n v="34"/>
    <n v="38"/>
    <s v="EMP1086-02"/>
    <n v="1"/>
    <n v="1.1176470588235294"/>
    <s v="Excellent"/>
  </r>
  <r>
    <x v="85"/>
    <x v="2"/>
    <n v="37"/>
    <n v="38"/>
    <s v="EMP1086-03"/>
    <n v="1"/>
    <n v="1.027027027027027"/>
    <s v="Good"/>
  </r>
  <r>
    <x v="85"/>
    <x v="3"/>
    <n v="36"/>
    <n v="39"/>
    <s v="EMP1086-04"/>
    <n v="1"/>
    <n v="1.0833333333333333"/>
    <s v="Good"/>
  </r>
  <r>
    <x v="85"/>
    <x v="4"/>
    <n v="36"/>
    <n v="39"/>
    <s v="EMP1086-05"/>
    <n v="1"/>
    <n v="1.0833333333333333"/>
    <s v="Good"/>
  </r>
  <r>
    <x v="85"/>
    <x v="5"/>
    <n v="36"/>
    <n v="38"/>
    <s v="EMP1086-06"/>
    <n v="1"/>
    <n v="1.0555555555555556"/>
    <s v="Good"/>
  </r>
  <r>
    <x v="85"/>
    <x v="6"/>
    <n v="36"/>
    <n v="40"/>
    <s v="EMP1086-07"/>
    <n v="1"/>
    <n v="1.1111111111111112"/>
    <s v="Excellent"/>
  </r>
  <r>
    <x v="85"/>
    <x v="7"/>
    <n v="35"/>
    <n v="36"/>
    <s v="EMP1086-08"/>
    <n v="1"/>
    <n v="1.0285714285714285"/>
    <s v="Good"/>
  </r>
  <r>
    <x v="85"/>
    <x v="8"/>
    <n v="36"/>
    <n v="39"/>
    <s v="EMP1086-09"/>
    <n v="1"/>
    <n v="1.0833333333333333"/>
    <s v="Good"/>
  </r>
  <r>
    <x v="85"/>
    <x v="9"/>
    <n v="37"/>
    <n v="39"/>
    <s v="EMP1086-10"/>
    <n v="1"/>
    <n v="1.0540540540540539"/>
    <s v="Good"/>
  </r>
  <r>
    <x v="85"/>
    <x v="10"/>
    <n v="36"/>
    <n v="39"/>
    <s v="EMP1086-11"/>
    <n v="1"/>
    <n v="1.0833333333333333"/>
    <s v="Good"/>
  </r>
  <r>
    <x v="85"/>
    <x v="11"/>
    <n v="31"/>
    <n v="30"/>
    <s v="EMP1086-12"/>
    <n v="1"/>
    <n v="0.967741935483871"/>
    <s v="Average"/>
  </r>
  <r>
    <x v="86"/>
    <x v="0"/>
    <n v="55638"/>
    <n v="46549"/>
    <s v="EMP1087-01"/>
    <n v="1"/>
    <n v="0.83664042560839713"/>
    <s v="Poor"/>
  </r>
  <r>
    <x v="86"/>
    <x v="1"/>
    <n v="51743"/>
    <n v="31704"/>
    <s v="EMP1087-02"/>
    <n v="1"/>
    <n v="0.61272056123533614"/>
    <s v="Poor"/>
  </r>
  <r>
    <x v="86"/>
    <x v="2"/>
    <n v="56751"/>
    <n v="35708"/>
    <s v="EMP1087-03"/>
    <n v="1"/>
    <n v="0.62920477172208422"/>
    <s v="Poor"/>
  </r>
  <r>
    <x v="86"/>
    <x v="3"/>
    <n v="55638"/>
    <n v="28599"/>
    <s v="EMP1087-04"/>
    <n v="1"/>
    <n v="0.51401919551385744"/>
    <s v="Poor"/>
  </r>
  <r>
    <x v="86"/>
    <x v="4"/>
    <n v="55638"/>
    <n v="37080"/>
    <s v="EMP1087-05"/>
    <n v="1"/>
    <n v="0.66645098673568426"/>
    <s v="Poor"/>
  </r>
  <r>
    <x v="86"/>
    <x v="5"/>
    <n v="54525"/>
    <n v="32664"/>
    <s v="EMP1087-06"/>
    <n v="1"/>
    <n v="0.59906464924346625"/>
    <s v="Poor"/>
  </r>
  <r>
    <x v="86"/>
    <x v="6"/>
    <n v="55638"/>
    <n v="49883"/>
    <s v="EMP1087-07"/>
    <n v="1"/>
    <n v="0.89656349976634675"/>
    <s v="Average"/>
  </r>
  <r>
    <x v="86"/>
    <x v="7"/>
    <n v="53969"/>
    <n v="45029"/>
    <s v="EMP1087-08"/>
    <n v="1"/>
    <n v="0.83434934870017974"/>
    <s v="Poor"/>
  </r>
  <r>
    <x v="86"/>
    <x v="8"/>
    <n v="55638"/>
    <n v="37031"/>
    <s v="EMP1087-09"/>
    <n v="1"/>
    <n v="0.66557029368417264"/>
    <s v="Poor"/>
  </r>
  <r>
    <x v="86"/>
    <x v="9"/>
    <n v="56751"/>
    <n v="54516"/>
    <s v="EMP1087-10"/>
    <n v="1"/>
    <n v="0.96061743405402544"/>
    <s v="Average"/>
  </r>
  <r>
    <x v="86"/>
    <x v="10"/>
    <n v="55638"/>
    <n v="51998"/>
    <s v="EMP1087-11"/>
    <n v="1"/>
    <n v="0.93457708760199865"/>
    <s v="Average"/>
  </r>
  <r>
    <x v="86"/>
    <x v="11"/>
    <n v="47292"/>
    <n v="39957"/>
    <s v="EMP1087-12"/>
    <n v="1"/>
    <n v="0.8448997716315656"/>
    <s v="Poor"/>
  </r>
  <r>
    <x v="87"/>
    <x v="0"/>
    <n v="46616"/>
    <n v="38407"/>
    <s v="EMP1088-01"/>
    <n v="1"/>
    <n v="0.82390166466449288"/>
    <s v="Poor"/>
  </r>
  <r>
    <x v="87"/>
    <x v="1"/>
    <n v="43353"/>
    <n v="20674"/>
    <s v="EMP1088-02"/>
    <n v="1"/>
    <n v="0.47687587940857612"/>
    <s v="Poor"/>
  </r>
  <r>
    <x v="87"/>
    <x v="2"/>
    <n v="47548"/>
    <n v="22928"/>
    <s v="EMP1088-03"/>
    <n v="1"/>
    <n v="0.48220745352065281"/>
    <s v="Poor"/>
  </r>
  <r>
    <x v="87"/>
    <x v="3"/>
    <n v="46616"/>
    <n v="34964"/>
    <s v="EMP1088-04"/>
    <n v="1"/>
    <n v="0.75004290372404325"/>
    <s v="Poor"/>
  </r>
  <r>
    <x v="87"/>
    <x v="4"/>
    <n v="46616"/>
    <n v="41616"/>
    <s v="EMP1088-05"/>
    <n v="1"/>
    <n v="0.8927406898918826"/>
    <s v="Average"/>
  </r>
  <r>
    <x v="87"/>
    <x v="5"/>
    <n v="45684"/>
    <n v="36009"/>
    <s v="EMP1088-06"/>
    <n v="1"/>
    <n v="0.78821907013396375"/>
    <s v="Poor"/>
  </r>
  <r>
    <x v="87"/>
    <x v="6"/>
    <n v="46616"/>
    <n v="32932"/>
    <s v="EMP1088-07"/>
    <n v="1"/>
    <n v="0.70645272009610438"/>
    <s v="Poor"/>
  </r>
  <r>
    <x v="87"/>
    <x v="7"/>
    <n v="45218"/>
    <n v="32084"/>
    <s v="EMP1088-08"/>
    <n v="1"/>
    <n v="0.70954044849396258"/>
    <s v="Poor"/>
  </r>
  <r>
    <x v="87"/>
    <x v="8"/>
    <n v="46616"/>
    <n v="34282"/>
    <s v="EMP1088-09"/>
    <n v="1"/>
    <n v="0.73541273382529604"/>
    <s v="Poor"/>
  </r>
  <r>
    <x v="87"/>
    <x v="9"/>
    <n v="47548"/>
    <n v="34518"/>
    <s v="EMP1088-10"/>
    <n v="1"/>
    <n v="0.72596113401194584"/>
    <s v="Poor"/>
  </r>
  <r>
    <x v="87"/>
    <x v="10"/>
    <n v="46616"/>
    <n v="36276"/>
    <s v="EMP1088-11"/>
    <n v="1"/>
    <n v="0.77818774669641322"/>
    <s v="Poor"/>
  </r>
  <r>
    <x v="87"/>
    <x v="11"/>
    <n v="39624"/>
    <n v="31719"/>
    <s v="EMP1088-12"/>
    <n v="1"/>
    <n v="0.80049969715324043"/>
    <s v="Poor"/>
  </r>
  <r>
    <x v="88"/>
    <x v="0"/>
    <n v="21"/>
    <n v="22"/>
    <s v="EMP1089-01"/>
    <n v="1"/>
    <n v="1.0476190476190477"/>
    <s v="Good"/>
  </r>
  <r>
    <x v="88"/>
    <x v="1"/>
    <n v="20"/>
    <n v="21"/>
    <s v="EMP1089-02"/>
    <n v="1"/>
    <n v="1.05"/>
    <s v="Good"/>
  </r>
  <r>
    <x v="88"/>
    <x v="2"/>
    <n v="22"/>
    <n v="21"/>
    <s v="EMP1089-03"/>
    <n v="1"/>
    <n v="0.95454545454545459"/>
    <s v="Average"/>
  </r>
  <r>
    <x v="88"/>
    <x v="3"/>
    <n v="21"/>
    <n v="22"/>
    <s v="EMP1089-04"/>
    <n v="1"/>
    <n v="1.0476190476190477"/>
    <s v="Good"/>
  </r>
  <r>
    <x v="88"/>
    <x v="4"/>
    <n v="21"/>
    <n v="22"/>
    <s v="EMP1089-05"/>
    <n v="1"/>
    <n v="1.0476190476190477"/>
    <s v="Good"/>
  </r>
  <r>
    <x v="88"/>
    <x v="5"/>
    <n v="21"/>
    <n v="20"/>
    <s v="EMP1089-06"/>
    <n v="1"/>
    <n v="0.95238095238095233"/>
    <s v="Average"/>
  </r>
  <r>
    <x v="88"/>
    <x v="6"/>
    <n v="21"/>
    <n v="22"/>
    <s v="EMP1089-07"/>
    <n v="1"/>
    <n v="1.0476190476190477"/>
    <s v="Good"/>
  </r>
  <r>
    <x v="88"/>
    <x v="7"/>
    <n v="21"/>
    <n v="23"/>
    <s v="EMP1089-08"/>
    <n v="1"/>
    <n v="1.0952380952380953"/>
    <s v="Good"/>
  </r>
  <r>
    <x v="88"/>
    <x v="8"/>
    <n v="21"/>
    <n v="22"/>
    <s v="EMP1089-09"/>
    <n v="1"/>
    <n v="1.0476190476190477"/>
    <s v="Good"/>
  </r>
  <r>
    <x v="88"/>
    <x v="9"/>
    <n v="22"/>
    <n v="22"/>
    <s v="EMP1089-10"/>
    <n v="1"/>
    <n v="1"/>
    <s v="Good"/>
  </r>
  <r>
    <x v="88"/>
    <x v="10"/>
    <n v="21"/>
    <n v="22"/>
    <s v="EMP1089-11"/>
    <n v="1"/>
    <n v="1.0476190476190477"/>
    <s v="Good"/>
  </r>
  <r>
    <x v="88"/>
    <x v="11"/>
    <n v="18"/>
    <n v="18"/>
    <s v="EMP1089-12"/>
    <n v="1"/>
    <n v="1"/>
    <s v="Good"/>
  </r>
  <r>
    <x v="89"/>
    <x v="0"/>
    <n v="62196"/>
    <n v="47245"/>
    <s v="EMP1090-01"/>
    <n v="1"/>
    <n v="0.75961476622290824"/>
    <s v="Poor"/>
  </r>
  <r>
    <x v="89"/>
    <x v="1"/>
    <n v="57842"/>
    <n v="49577"/>
    <s v="EMP1090-02"/>
    <n v="1"/>
    <n v="0.85711074997406733"/>
    <s v="Average"/>
  </r>
  <r>
    <x v="89"/>
    <x v="2"/>
    <n v="63440"/>
    <n v="46645"/>
    <s v="EMP1090-03"/>
    <n v="1"/>
    <n v="0.73526166456494324"/>
    <s v="Poor"/>
  </r>
  <r>
    <x v="89"/>
    <x v="3"/>
    <n v="62196"/>
    <n v="52409"/>
    <s v="EMP1090-04"/>
    <n v="1"/>
    <n v="0.84264261367290505"/>
    <s v="Poor"/>
  </r>
  <r>
    <x v="89"/>
    <x v="4"/>
    <n v="62196"/>
    <n v="43456"/>
    <s v="EMP1090-05"/>
    <n v="1"/>
    <n v="0.69869444980384587"/>
    <s v="Poor"/>
  </r>
  <r>
    <x v="89"/>
    <x v="5"/>
    <n v="60952"/>
    <n v="47053"/>
    <s v="EMP1090-06"/>
    <n v="1"/>
    <n v="0.77196810605066279"/>
    <s v="Poor"/>
  </r>
  <r>
    <x v="89"/>
    <x v="6"/>
    <n v="62196"/>
    <n v="53742"/>
    <s v="EMP1090-07"/>
    <n v="1"/>
    <n v="0.86407486011962187"/>
    <s v="Average"/>
  </r>
  <r>
    <x v="89"/>
    <x v="7"/>
    <n v="60330"/>
    <n v="40590"/>
    <s v="EMP1090-08"/>
    <n v="1"/>
    <n v="0.67279960218796619"/>
    <s v="Poor"/>
  </r>
  <r>
    <x v="89"/>
    <x v="8"/>
    <n v="62196"/>
    <n v="54493"/>
    <s v="EMP1090-09"/>
    <n v="1"/>
    <n v="0.87614959161360861"/>
    <s v="Average"/>
  </r>
  <r>
    <x v="89"/>
    <x v="9"/>
    <n v="63440"/>
    <n v="52664"/>
    <s v="EMP1090-10"/>
    <n v="1"/>
    <n v="0.83013871374527115"/>
    <s v="Poor"/>
  </r>
  <r>
    <x v="89"/>
    <x v="10"/>
    <n v="62196"/>
    <n v="61409"/>
    <s v="EMP1090-11"/>
    <n v="1"/>
    <n v="0.98734645314811242"/>
    <s v="Average"/>
  </r>
  <r>
    <x v="89"/>
    <x v="11"/>
    <n v="52867"/>
    <n v="52576"/>
    <s v="EMP1090-12"/>
    <n v="1"/>
    <n v="0.99449562108687839"/>
    <s v="Average"/>
  </r>
  <r>
    <x v="90"/>
    <x v="0"/>
    <n v="235"/>
    <n v="230"/>
    <s v="EMP1091-01"/>
    <n v="1"/>
    <n v="0.97872340425531912"/>
    <s v="Average"/>
  </r>
  <r>
    <x v="90"/>
    <x v="1"/>
    <n v="219"/>
    <n v="207"/>
    <s v="EMP1091-02"/>
    <n v="1"/>
    <n v="0.9452054794520548"/>
    <s v="Average"/>
  </r>
  <r>
    <x v="90"/>
    <x v="2"/>
    <n v="240"/>
    <n v="235"/>
    <s v="EMP1091-03"/>
    <n v="1"/>
    <n v="0.97916666666666663"/>
    <s v="Average"/>
  </r>
  <r>
    <x v="90"/>
    <x v="3"/>
    <n v="235"/>
    <n v="236"/>
    <s v="EMP1091-04"/>
    <n v="1"/>
    <n v="1.0042553191489361"/>
    <s v="Good"/>
  </r>
  <r>
    <x v="90"/>
    <x v="4"/>
    <n v="235"/>
    <n v="229"/>
    <s v="EMP1091-05"/>
    <n v="1"/>
    <n v="0.97446808510638294"/>
    <s v="Average"/>
  </r>
  <r>
    <x v="90"/>
    <x v="5"/>
    <n v="230"/>
    <n v="225"/>
    <s v="EMP1091-06"/>
    <n v="1"/>
    <n v="0.97826086956521741"/>
    <s v="Average"/>
  </r>
  <r>
    <x v="90"/>
    <x v="6"/>
    <n v="235"/>
    <n v="196"/>
    <s v="EMP1091-07"/>
    <n v="1"/>
    <n v="0.83404255319148934"/>
    <s v="Poor"/>
  </r>
  <r>
    <x v="90"/>
    <x v="7"/>
    <n v="228"/>
    <n v="195"/>
    <s v="EMP1091-08"/>
    <n v="1"/>
    <n v="0.85526315789473684"/>
    <s v="Average"/>
  </r>
  <r>
    <x v="90"/>
    <x v="8"/>
    <n v="235"/>
    <n v="210"/>
    <s v="EMP1091-09"/>
    <n v="1"/>
    <n v="0.8936170212765957"/>
    <s v="Average"/>
  </r>
  <r>
    <x v="90"/>
    <x v="9"/>
    <n v="240"/>
    <n v="260"/>
    <s v="EMP1091-10"/>
    <n v="1"/>
    <n v="1.0833333333333333"/>
    <s v="Good"/>
  </r>
  <r>
    <x v="90"/>
    <x v="10"/>
    <n v="235"/>
    <n v="224"/>
    <s v="EMP1091-11"/>
    <n v="1"/>
    <n v="0.95319148936170217"/>
    <s v="Average"/>
  </r>
  <r>
    <x v="90"/>
    <x v="11"/>
    <n v="200"/>
    <n v="196"/>
    <s v="EMP1091-12"/>
    <n v="1"/>
    <n v="0.98"/>
    <s v="Average"/>
  </r>
  <r>
    <x v="91"/>
    <x v="0"/>
    <n v="38"/>
    <n v="40"/>
    <s v="EMP1092-01"/>
    <n v="1"/>
    <n v="1.0526315789473684"/>
    <s v="Good"/>
  </r>
  <r>
    <x v="91"/>
    <x v="1"/>
    <n v="35"/>
    <n v="35"/>
    <s v="EMP1092-02"/>
    <n v="1"/>
    <n v="1"/>
    <s v="Good"/>
  </r>
  <r>
    <x v="91"/>
    <x v="2"/>
    <n v="39"/>
    <n v="41"/>
    <s v="EMP1092-03"/>
    <n v="1"/>
    <n v="1.0512820512820513"/>
    <s v="Good"/>
  </r>
  <r>
    <x v="91"/>
    <x v="3"/>
    <n v="38"/>
    <n v="38"/>
    <s v="EMP1092-04"/>
    <n v="1"/>
    <n v="1"/>
    <s v="Good"/>
  </r>
  <r>
    <x v="91"/>
    <x v="4"/>
    <n v="38"/>
    <n v="39"/>
    <s v="EMP1092-05"/>
    <n v="1"/>
    <n v="1.0263157894736843"/>
    <s v="Good"/>
  </r>
  <r>
    <x v="91"/>
    <x v="5"/>
    <n v="37"/>
    <n v="37"/>
    <s v="EMP1092-06"/>
    <n v="1"/>
    <n v="1"/>
    <s v="Good"/>
  </r>
  <r>
    <x v="91"/>
    <x v="6"/>
    <n v="38"/>
    <n v="42"/>
    <s v="EMP1092-07"/>
    <n v="1"/>
    <n v="1.1052631578947369"/>
    <s v="Excellent"/>
  </r>
  <r>
    <x v="91"/>
    <x v="7"/>
    <n v="37"/>
    <n v="35"/>
    <s v="EMP1092-08"/>
    <n v="1"/>
    <n v="0.94594594594594594"/>
    <s v="Average"/>
  </r>
  <r>
    <x v="91"/>
    <x v="8"/>
    <n v="38"/>
    <n v="39"/>
    <s v="EMP1092-09"/>
    <n v="1"/>
    <n v="1.0263157894736843"/>
    <s v="Good"/>
  </r>
  <r>
    <x v="91"/>
    <x v="9"/>
    <n v="39"/>
    <n v="41"/>
    <s v="EMP1092-10"/>
    <n v="1"/>
    <n v="1.0512820512820513"/>
    <s v="Good"/>
  </r>
  <r>
    <x v="91"/>
    <x v="10"/>
    <n v="38"/>
    <n v="40"/>
    <s v="EMP1092-11"/>
    <n v="1"/>
    <n v="1.0526315789473684"/>
    <s v="Good"/>
  </r>
  <r>
    <x v="91"/>
    <x v="11"/>
    <n v="32"/>
    <n v="31"/>
    <s v="EMP1092-12"/>
    <n v="1"/>
    <n v="0.96875"/>
    <s v="Average"/>
  </r>
  <r>
    <x v="92"/>
    <x v="0"/>
    <n v="43"/>
    <n v="45"/>
    <s v="EMP1093-01"/>
    <n v="1"/>
    <n v="1.0465116279069768"/>
    <s v="Good"/>
  </r>
  <r>
    <x v="92"/>
    <x v="1"/>
    <n v="40"/>
    <n v="42"/>
    <s v="EMP1093-02"/>
    <n v="1"/>
    <n v="1.05"/>
    <s v="Good"/>
  </r>
  <r>
    <x v="92"/>
    <x v="2"/>
    <n v="44"/>
    <n v="48"/>
    <s v="EMP1093-03"/>
    <n v="1"/>
    <n v="1.0909090909090908"/>
    <s v="Good"/>
  </r>
  <r>
    <x v="92"/>
    <x v="3"/>
    <n v="43"/>
    <n v="49"/>
    <s v="EMP1093-04"/>
    <n v="1"/>
    <n v="1.1395348837209303"/>
    <s v="Excellent"/>
  </r>
  <r>
    <x v="92"/>
    <x v="4"/>
    <n v="43"/>
    <n v="44"/>
    <s v="EMP1093-05"/>
    <n v="1"/>
    <n v="1.0232558139534884"/>
    <s v="Good"/>
  </r>
  <r>
    <x v="92"/>
    <x v="5"/>
    <n v="42"/>
    <n v="42"/>
    <s v="EMP1093-06"/>
    <n v="1"/>
    <n v="1"/>
    <s v="Good"/>
  </r>
  <r>
    <x v="92"/>
    <x v="6"/>
    <n v="43"/>
    <n v="45"/>
    <s v="EMP1093-07"/>
    <n v="1"/>
    <n v="1.0465116279069768"/>
    <s v="Good"/>
  </r>
  <r>
    <x v="92"/>
    <x v="7"/>
    <n v="42"/>
    <n v="47"/>
    <s v="EMP1093-08"/>
    <n v="1"/>
    <n v="1.1190476190476191"/>
    <s v="Excellent"/>
  </r>
  <r>
    <x v="92"/>
    <x v="8"/>
    <n v="43"/>
    <n v="44"/>
    <s v="EMP1093-09"/>
    <n v="1"/>
    <n v="1.0232558139534884"/>
    <s v="Good"/>
  </r>
  <r>
    <x v="92"/>
    <x v="9"/>
    <n v="44"/>
    <n v="49"/>
    <s v="EMP1093-10"/>
    <n v="1"/>
    <n v="1.1136363636363635"/>
    <s v="Excellent"/>
  </r>
  <r>
    <x v="92"/>
    <x v="10"/>
    <n v="43"/>
    <n v="48"/>
    <s v="EMP1093-11"/>
    <n v="1"/>
    <n v="1.1162790697674418"/>
    <s v="Excellent"/>
  </r>
  <r>
    <x v="92"/>
    <x v="11"/>
    <n v="37"/>
    <n v="37"/>
    <s v="EMP1093-12"/>
    <n v="1"/>
    <n v="1"/>
    <s v="Good"/>
  </r>
  <r>
    <x v="93"/>
    <x v="0"/>
    <n v="57234"/>
    <n v="61963"/>
    <s v="EMP1094-01"/>
    <n v="1"/>
    <n v="1.082625711989377"/>
    <s v="Good"/>
  </r>
  <r>
    <x v="93"/>
    <x v="1"/>
    <n v="53228"/>
    <n v="48059"/>
    <s v="EMP1094-02"/>
    <n v="1"/>
    <n v="0.90288945667693699"/>
    <s v="Average"/>
  </r>
  <r>
    <x v="93"/>
    <x v="2"/>
    <n v="58379"/>
    <n v="55540"/>
    <s v="EMP1094-03"/>
    <n v="1"/>
    <n v="0.95136949930625736"/>
    <s v="Average"/>
  </r>
  <r>
    <x v="93"/>
    <x v="3"/>
    <n v="57234"/>
    <n v="52345"/>
    <s v="EMP1094-04"/>
    <n v="1"/>
    <n v="0.91457874689869656"/>
    <s v="Average"/>
  </r>
  <r>
    <x v="93"/>
    <x v="4"/>
    <n v="57234"/>
    <n v="49923"/>
    <s v="EMP1094-05"/>
    <n v="1"/>
    <n v="0.87226124331690957"/>
    <s v="Average"/>
  </r>
  <r>
    <x v="93"/>
    <x v="5"/>
    <n v="56090"/>
    <n v="51032"/>
    <s v="EMP1094-06"/>
    <n v="1"/>
    <n v="0.90982349794972361"/>
    <s v="Average"/>
  </r>
  <r>
    <x v="93"/>
    <x v="6"/>
    <n v="57234"/>
    <n v="48840"/>
    <s v="EMP1094-07"/>
    <n v="1"/>
    <n v="0.85333892441555714"/>
    <s v="Average"/>
  </r>
  <r>
    <x v="93"/>
    <x v="7"/>
    <n v="55517"/>
    <n v="54416"/>
    <s v="EMP1094-08"/>
    <n v="1"/>
    <n v="0.98016823675630893"/>
    <s v="Average"/>
  </r>
  <r>
    <x v="93"/>
    <x v="8"/>
    <n v="57234"/>
    <n v="51555"/>
    <s v="EMP1094-09"/>
    <n v="1"/>
    <n v="0.90077576265855963"/>
    <s v="Average"/>
  </r>
  <r>
    <x v="93"/>
    <x v="9"/>
    <n v="58379"/>
    <n v="58504"/>
    <s v="EMP1094-10"/>
    <n v="1"/>
    <n v="1.0021411809040923"/>
    <s v="Good"/>
  </r>
  <r>
    <x v="93"/>
    <x v="10"/>
    <n v="57234"/>
    <n v="52895"/>
    <s v="EMP1094-11"/>
    <n v="1"/>
    <n v="0.92418841947094388"/>
    <s v="Average"/>
  </r>
  <r>
    <x v="93"/>
    <x v="11"/>
    <n v="48649"/>
    <n v="56134"/>
    <s v="EMP1094-12"/>
    <n v="1"/>
    <n v="1.1538572221422845"/>
    <s v="Excellent"/>
  </r>
  <r>
    <x v="94"/>
    <x v="0"/>
    <n v="370"/>
    <n v="353"/>
    <s v="EMP1095-01"/>
    <n v="1"/>
    <n v="0.95405405405405408"/>
    <s v="Average"/>
  </r>
  <r>
    <x v="94"/>
    <x v="1"/>
    <n v="345"/>
    <n v="387"/>
    <s v="EMP1095-02"/>
    <n v="1"/>
    <n v="1.1217391304347826"/>
    <s v="Excellent"/>
  </r>
  <r>
    <x v="94"/>
    <x v="2"/>
    <n v="378"/>
    <n v="477"/>
    <s v="EMP1095-03"/>
    <n v="1"/>
    <n v="1.2619047619047619"/>
    <s v="Excellent"/>
  </r>
  <r>
    <x v="94"/>
    <x v="3"/>
    <n v="370"/>
    <n v="375"/>
    <s v="EMP1095-04"/>
    <n v="1"/>
    <n v="1.0135135135135136"/>
    <s v="Good"/>
  </r>
  <r>
    <x v="94"/>
    <x v="4"/>
    <n v="370"/>
    <n v="450"/>
    <s v="EMP1095-05"/>
    <n v="1"/>
    <n v="1.2162162162162162"/>
    <s v="Excellent"/>
  </r>
  <r>
    <x v="94"/>
    <x v="5"/>
    <n v="363"/>
    <n v="428"/>
    <s v="EMP1095-06"/>
    <n v="1"/>
    <n v="1.1790633608815426"/>
    <s v="Excellent"/>
  </r>
  <r>
    <x v="94"/>
    <x v="6"/>
    <n v="370"/>
    <n v="389"/>
    <s v="EMP1095-07"/>
    <n v="1"/>
    <n v="1.0513513513513513"/>
    <s v="Good"/>
  </r>
  <r>
    <x v="94"/>
    <x v="7"/>
    <n v="359"/>
    <n v="394"/>
    <s v="EMP1095-08"/>
    <n v="1"/>
    <n v="1.0974930362116992"/>
    <s v="Good"/>
  </r>
  <r>
    <x v="94"/>
    <x v="8"/>
    <n v="370"/>
    <n v="421"/>
    <s v="EMP1095-09"/>
    <n v="1"/>
    <n v="1.1378378378378378"/>
    <s v="Excellent"/>
  </r>
  <r>
    <x v="94"/>
    <x v="9"/>
    <n v="378"/>
    <n v="418"/>
    <s v="EMP1095-10"/>
    <n v="1"/>
    <n v="1.1058201058201058"/>
    <s v="Excellent"/>
  </r>
  <r>
    <x v="94"/>
    <x v="10"/>
    <n v="370"/>
    <n v="458"/>
    <s v="EMP1095-11"/>
    <n v="1"/>
    <n v="1.2378378378378379"/>
    <s v="Excellent"/>
  </r>
  <r>
    <x v="94"/>
    <x v="11"/>
    <n v="315"/>
    <n v="326"/>
    <s v="EMP1095-12"/>
    <n v="1"/>
    <n v="1.034920634920635"/>
    <s v="Good"/>
  </r>
  <r>
    <x v="95"/>
    <x v="0"/>
    <n v="40816"/>
    <n v="30472"/>
    <s v="EMP1096-01"/>
    <n v="1"/>
    <n v="0.74656997255978053"/>
    <s v="Poor"/>
  </r>
  <r>
    <x v="95"/>
    <x v="1"/>
    <n v="37959"/>
    <n v="34081"/>
    <s v="EMP1096-02"/>
    <n v="1"/>
    <n v="0.89783714007218318"/>
    <s v="Average"/>
  </r>
  <r>
    <x v="95"/>
    <x v="2"/>
    <n v="41632"/>
    <n v="35366"/>
    <s v="EMP1096-03"/>
    <n v="1"/>
    <n v="0.8494907763259032"/>
    <s v="Poor"/>
  </r>
  <r>
    <x v="95"/>
    <x v="3"/>
    <n v="40816"/>
    <n v="35402"/>
    <s v="EMP1096-04"/>
    <n v="1"/>
    <n v="0.86735593884751083"/>
    <s v="Average"/>
  </r>
  <r>
    <x v="95"/>
    <x v="4"/>
    <n v="40816"/>
    <n v="43489"/>
    <s v="EMP1096-05"/>
    <n v="1"/>
    <n v="1.0654890239121912"/>
    <s v="Good"/>
  </r>
  <r>
    <x v="95"/>
    <x v="5"/>
    <n v="40000"/>
    <n v="42082"/>
    <s v="EMP1096-06"/>
    <n v="1"/>
    <n v="1.0520499999999999"/>
    <s v="Good"/>
  </r>
  <r>
    <x v="95"/>
    <x v="6"/>
    <n v="40816"/>
    <n v="41012"/>
    <s v="EMP1096-07"/>
    <n v="1"/>
    <n v="1.0048020384163072"/>
    <s v="Good"/>
  </r>
  <r>
    <x v="95"/>
    <x v="7"/>
    <n v="39592"/>
    <n v="33086"/>
    <s v="EMP1096-08"/>
    <n v="1"/>
    <n v="0.83567387350979994"/>
    <s v="Poor"/>
  </r>
  <r>
    <x v="95"/>
    <x v="8"/>
    <n v="40816"/>
    <n v="37318"/>
    <s v="EMP1096-09"/>
    <n v="1"/>
    <n v="0.9142983143865151"/>
    <s v="Average"/>
  </r>
  <r>
    <x v="95"/>
    <x v="9"/>
    <n v="41632"/>
    <n v="44473"/>
    <s v="EMP1096-10"/>
    <n v="1"/>
    <n v="1.0682407763259032"/>
    <s v="Good"/>
  </r>
  <r>
    <x v="95"/>
    <x v="10"/>
    <n v="40816"/>
    <n v="43351"/>
    <s v="EMP1096-11"/>
    <n v="1"/>
    <n v="1.0621079968639748"/>
    <s v="Good"/>
  </r>
  <r>
    <x v="95"/>
    <x v="11"/>
    <n v="34694"/>
    <n v="45826"/>
    <s v="EMP1096-12"/>
    <n v="1"/>
    <n v="1.3208623969562461"/>
    <s v="Excellent"/>
  </r>
  <r>
    <x v="96"/>
    <x v="0"/>
    <n v="84"/>
    <n v="88"/>
    <s v="EMP1097-01"/>
    <n v="1"/>
    <n v="1.0476190476190477"/>
    <s v="Good"/>
  </r>
  <r>
    <x v="96"/>
    <x v="1"/>
    <n v="78"/>
    <n v="79"/>
    <s v="EMP1097-02"/>
    <n v="1"/>
    <n v="1.0128205128205128"/>
    <s v="Good"/>
  </r>
  <r>
    <x v="96"/>
    <x v="2"/>
    <n v="86"/>
    <n v="97"/>
    <s v="EMP1097-03"/>
    <n v="1"/>
    <n v="1.1279069767441861"/>
    <s v="Excellent"/>
  </r>
  <r>
    <x v="96"/>
    <x v="3"/>
    <n v="84"/>
    <n v="86"/>
    <s v="EMP1097-04"/>
    <n v="1"/>
    <n v="1.0238095238095237"/>
    <s v="Good"/>
  </r>
  <r>
    <x v="96"/>
    <x v="4"/>
    <n v="84"/>
    <n v="91"/>
    <s v="EMP1097-05"/>
    <n v="1"/>
    <n v="1.0833333333333333"/>
    <s v="Good"/>
  </r>
  <r>
    <x v="96"/>
    <x v="5"/>
    <n v="83"/>
    <n v="95"/>
    <s v="EMP1097-06"/>
    <n v="1"/>
    <n v="1.1445783132530121"/>
    <s v="Excellent"/>
  </r>
  <r>
    <x v="96"/>
    <x v="6"/>
    <n v="84"/>
    <n v="82"/>
    <s v="EMP1097-07"/>
    <n v="1"/>
    <n v="0.97619047619047616"/>
    <s v="Average"/>
  </r>
  <r>
    <x v="96"/>
    <x v="7"/>
    <n v="82"/>
    <n v="77"/>
    <s v="EMP1097-08"/>
    <n v="1"/>
    <n v="0.93902439024390238"/>
    <s v="Average"/>
  </r>
  <r>
    <x v="96"/>
    <x v="8"/>
    <n v="84"/>
    <n v="76"/>
    <s v="EMP1097-09"/>
    <n v="1"/>
    <n v="0.90476190476190477"/>
    <s v="Average"/>
  </r>
  <r>
    <x v="96"/>
    <x v="9"/>
    <n v="86"/>
    <n v="92"/>
    <s v="EMP1097-10"/>
    <n v="1"/>
    <n v="1.069767441860465"/>
    <s v="Good"/>
  </r>
  <r>
    <x v="96"/>
    <x v="10"/>
    <n v="84"/>
    <n v="89"/>
    <s v="EMP1097-11"/>
    <n v="1"/>
    <n v="1.0595238095238095"/>
    <s v="Good"/>
  </r>
  <r>
    <x v="96"/>
    <x v="11"/>
    <n v="72"/>
    <n v="64"/>
    <s v="EMP1097-12"/>
    <n v="1"/>
    <n v="0.88888888888888884"/>
    <s v="Average"/>
  </r>
  <r>
    <x v="97"/>
    <x v="0"/>
    <n v="169790"/>
    <n v="208151"/>
    <s v="EMP1098-01"/>
    <n v="1"/>
    <n v="1.2259320336886743"/>
    <s v="Excellent"/>
  </r>
  <r>
    <x v="97"/>
    <x v="1"/>
    <n v="157905"/>
    <n v="157277"/>
    <s v="EMP1098-02"/>
    <n v="1"/>
    <n v="0.99602292517653024"/>
    <s v="Average"/>
  </r>
  <r>
    <x v="97"/>
    <x v="2"/>
    <n v="173186"/>
    <n v="192319"/>
    <s v="EMP1098-03"/>
    <n v="1"/>
    <n v="1.1104765974154955"/>
    <s v="Excellent"/>
  </r>
  <r>
    <x v="97"/>
    <x v="3"/>
    <n v="169790"/>
    <n v="175701"/>
    <s v="EMP1098-04"/>
    <n v="1"/>
    <n v="1.0348135932622651"/>
    <s v="Good"/>
  </r>
  <r>
    <x v="97"/>
    <x v="4"/>
    <n v="169790"/>
    <n v="172632"/>
    <s v="EMP1098-05"/>
    <n v="1"/>
    <n v="1.0167383238117675"/>
    <s v="Good"/>
  </r>
  <r>
    <x v="97"/>
    <x v="5"/>
    <n v="166394"/>
    <n v="186118"/>
    <s v="EMP1098-06"/>
    <n v="1"/>
    <n v="1.1185379280502903"/>
    <s v="Excellent"/>
  </r>
  <r>
    <x v="97"/>
    <x v="6"/>
    <n v="169790"/>
    <n v="169383"/>
    <s v="EMP1098-07"/>
    <n v="1"/>
    <n v="0.99760292125566874"/>
    <s v="Average"/>
  </r>
  <r>
    <x v="97"/>
    <x v="7"/>
    <n v="164697"/>
    <n v="173487"/>
    <s v="EMP1098-08"/>
    <n v="1"/>
    <n v="1.0533707353503707"/>
    <s v="Good"/>
  </r>
  <r>
    <x v="97"/>
    <x v="8"/>
    <n v="169790"/>
    <n v="179774"/>
    <s v="EMP1098-09"/>
    <n v="1"/>
    <n v="1.0588020495906709"/>
    <s v="Good"/>
  </r>
  <r>
    <x v="97"/>
    <x v="9"/>
    <n v="173186"/>
    <n v="166227"/>
    <s v="EMP1098-10"/>
    <n v="1"/>
    <n v="0.95981776817987596"/>
    <s v="Average"/>
  </r>
  <r>
    <x v="97"/>
    <x v="10"/>
    <n v="169790"/>
    <n v="208134"/>
    <s v="EMP1098-11"/>
    <n v="1"/>
    <n v="1.2258319100064785"/>
    <s v="Excellent"/>
  </r>
  <r>
    <x v="97"/>
    <x v="11"/>
    <n v="144322"/>
    <n v="165845"/>
    <s v="EMP1098-12"/>
    <n v="1"/>
    <n v="1.1491318024971937"/>
    <s v="Excellent"/>
  </r>
  <r>
    <x v="98"/>
    <x v="0"/>
    <n v="38"/>
    <n v="41"/>
    <s v="EMP1099-01"/>
    <n v="1"/>
    <n v="1.0789473684210527"/>
    <s v="Good"/>
  </r>
  <r>
    <x v="98"/>
    <x v="1"/>
    <n v="35"/>
    <n v="36"/>
    <s v="EMP1099-02"/>
    <n v="1"/>
    <n v="1.0285714285714285"/>
    <s v="Good"/>
  </r>
  <r>
    <x v="98"/>
    <x v="2"/>
    <n v="39"/>
    <n v="41"/>
    <s v="EMP1099-03"/>
    <n v="1"/>
    <n v="1.0512820512820513"/>
    <s v="Good"/>
  </r>
  <r>
    <x v="98"/>
    <x v="3"/>
    <n v="38"/>
    <n v="40"/>
    <s v="EMP1099-04"/>
    <n v="1"/>
    <n v="1.0526315789473684"/>
    <s v="Good"/>
  </r>
  <r>
    <x v="98"/>
    <x v="4"/>
    <n v="38"/>
    <n v="41"/>
    <s v="EMP1099-05"/>
    <n v="1"/>
    <n v="1.0789473684210527"/>
    <s v="Good"/>
  </r>
  <r>
    <x v="98"/>
    <x v="5"/>
    <n v="37"/>
    <n v="39"/>
    <s v="EMP1099-06"/>
    <n v="1"/>
    <n v="1.0540540540540539"/>
    <s v="Good"/>
  </r>
  <r>
    <x v="98"/>
    <x v="6"/>
    <n v="38"/>
    <n v="40"/>
    <s v="EMP1099-07"/>
    <n v="1"/>
    <n v="1.0526315789473684"/>
    <s v="Good"/>
  </r>
  <r>
    <x v="98"/>
    <x v="7"/>
    <n v="37"/>
    <n v="39"/>
    <s v="EMP1099-08"/>
    <n v="1"/>
    <n v="1.0540540540540539"/>
    <s v="Good"/>
  </r>
  <r>
    <x v="98"/>
    <x v="8"/>
    <n v="38"/>
    <n v="42"/>
    <s v="EMP1099-09"/>
    <n v="1"/>
    <n v="1.1052631578947369"/>
    <s v="Excellent"/>
  </r>
  <r>
    <x v="98"/>
    <x v="9"/>
    <n v="39"/>
    <n v="42"/>
    <s v="EMP1099-10"/>
    <n v="1"/>
    <n v="1.0769230769230769"/>
    <s v="Good"/>
  </r>
  <r>
    <x v="98"/>
    <x v="10"/>
    <n v="38"/>
    <n v="40"/>
    <s v="EMP1099-11"/>
    <n v="1"/>
    <n v="1.0526315789473684"/>
    <s v="Good"/>
  </r>
  <r>
    <x v="98"/>
    <x v="11"/>
    <n v="32"/>
    <n v="30"/>
    <s v="EMP1099-12"/>
    <n v="1"/>
    <n v="0.9375"/>
    <s v="Average"/>
  </r>
  <r>
    <x v="99"/>
    <x v="0"/>
    <n v="206"/>
    <n v="154"/>
    <s v="EMP1100-01"/>
    <n v="1"/>
    <n v="0.74757281553398058"/>
    <s v="Poor"/>
  </r>
  <r>
    <x v="99"/>
    <x v="1"/>
    <n v="191"/>
    <n v="140"/>
    <s v="EMP1100-02"/>
    <n v="1"/>
    <n v="0.73298429319371727"/>
    <s v="Poor"/>
  </r>
  <r>
    <x v="99"/>
    <x v="2"/>
    <n v="210"/>
    <n v="159"/>
    <s v="EMP1100-03"/>
    <n v="1"/>
    <n v="0.75714285714285712"/>
    <s v="Poor"/>
  </r>
  <r>
    <x v="99"/>
    <x v="3"/>
    <n v="206"/>
    <n v="159"/>
    <s v="EMP1100-04"/>
    <n v="1"/>
    <n v="0.77184466019417475"/>
    <s v="Poor"/>
  </r>
  <r>
    <x v="99"/>
    <x v="4"/>
    <n v="206"/>
    <n v="165"/>
    <s v="EMP1100-05"/>
    <n v="1"/>
    <n v="0.80097087378640774"/>
    <s v="Poor"/>
  </r>
  <r>
    <x v="99"/>
    <x v="5"/>
    <n v="202"/>
    <n v="155"/>
    <s v="EMP1100-06"/>
    <n v="1"/>
    <n v="0.76732673267326734"/>
    <s v="Poor"/>
  </r>
  <r>
    <x v="99"/>
    <x v="6"/>
    <n v="206"/>
    <n v="165"/>
    <s v="EMP1100-07"/>
    <n v="1"/>
    <n v="0.80097087378640774"/>
    <s v="Poor"/>
  </r>
  <r>
    <x v="99"/>
    <x v="7"/>
    <n v="200"/>
    <n v="125"/>
    <s v="EMP1100-08"/>
    <n v="1"/>
    <n v="0.625"/>
    <s v="Poor"/>
  </r>
  <r>
    <x v="99"/>
    <x v="8"/>
    <n v="206"/>
    <n v="127"/>
    <s v="EMP1100-09"/>
    <n v="1"/>
    <n v="0.61650485436893199"/>
    <s v="Poor"/>
  </r>
  <r>
    <x v="99"/>
    <x v="9"/>
    <n v="210"/>
    <n v="152"/>
    <s v="EMP1100-10"/>
    <n v="1"/>
    <n v="0.72380952380952379"/>
    <s v="Poor"/>
  </r>
  <r>
    <x v="99"/>
    <x v="10"/>
    <n v="206"/>
    <n v="158"/>
    <s v="EMP1100-11"/>
    <n v="1"/>
    <n v="0.76699029126213591"/>
    <s v="Poor"/>
  </r>
  <r>
    <x v="99"/>
    <x v="11"/>
    <n v="175"/>
    <n v="112"/>
    <s v="EMP1100-12"/>
    <n v="1"/>
    <n v="0.64"/>
    <s v="Poo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MP1001"/>
    <s v="Adeel Hussain"/>
    <x v="0"/>
    <x v="0"/>
    <x v="0"/>
    <n v="32"/>
    <x v="0"/>
    <n v="0.89527758546531555"/>
    <n v="12"/>
    <x v="0"/>
    <n v="73"/>
  </r>
  <r>
    <s v="EMP1002"/>
    <s v="Karan Mathew"/>
    <x v="1"/>
    <x v="0"/>
    <x v="0"/>
    <n v="30"/>
    <x v="0"/>
    <n v="1.236086106230655"/>
    <n v="12"/>
    <x v="1"/>
    <n v="1"/>
  </r>
  <r>
    <s v="EMP1003"/>
    <s v="Steven Al Mansoori"/>
    <x v="2"/>
    <x v="1"/>
    <x v="0"/>
    <n v="29"/>
    <x v="1"/>
    <n v="0.81276544288914387"/>
    <n v="12"/>
    <x v="2"/>
    <n v="88"/>
  </r>
  <r>
    <s v="EMP1004"/>
    <s v="Ahmed Smith"/>
    <x v="3"/>
    <x v="2"/>
    <x v="0"/>
    <n v="38"/>
    <x v="0"/>
    <n v="0.83314383150289462"/>
    <n v="12"/>
    <x v="2"/>
    <n v="83"/>
  </r>
  <r>
    <s v="EMP1005"/>
    <s v="Pooja Reddy"/>
    <x v="1"/>
    <x v="0"/>
    <x v="1"/>
    <n v="26"/>
    <x v="1"/>
    <n v="0.93595636653276559"/>
    <n v="12"/>
    <x v="0"/>
    <n v="64"/>
  </r>
  <r>
    <s v="EMP1006"/>
    <s v="Priya Nair"/>
    <x v="4"/>
    <x v="3"/>
    <x v="1"/>
    <n v="24"/>
    <x v="1"/>
    <n v="1.0246449456975772"/>
    <n v="12"/>
    <x v="3"/>
    <n v="31"/>
  </r>
  <r>
    <s v="EMP1007"/>
    <s v="Wei Patel"/>
    <x v="5"/>
    <x v="4"/>
    <x v="0"/>
    <n v="34"/>
    <x v="0"/>
    <n v="0.80034900811378873"/>
    <n v="10"/>
    <x v="2"/>
    <n v="91"/>
  </r>
  <r>
    <s v="EMP1008"/>
    <s v="Tom Chen"/>
    <x v="6"/>
    <x v="5"/>
    <x v="0"/>
    <n v="27"/>
    <x v="1"/>
    <n v="0.96508276080644506"/>
    <n v="12"/>
    <x v="0"/>
    <n v="53"/>
  </r>
  <r>
    <s v="EMP1009"/>
    <s v="Adeel Hassan"/>
    <x v="7"/>
    <x v="4"/>
    <x v="0"/>
    <n v="37"/>
    <x v="0"/>
    <n v="0.9915808661065636"/>
    <n v="12"/>
    <x v="0"/>
    <n v="44"/>
  </r>
  <r>
    <s v="EMP1010"/>
    <s v="Ali Gupta"/>
    <x v="8"/>
    <x v="1"/>
    <x v="0"/>
    <n v="36"/>
    <x v="0"/>
    <n v="1.0366573024420738"/>
    <n v="12"/>
    <x v="3"/>
    <n v="24"/>
  </r>
  <r>
    <s v="EMP1011"/>
    <s v="Karan Ali"/>
    <x v="1"/>
    <x v="0"/>
    <x v="0"/>
    <n v="27"/>
    <x v="1"/>
    <n v="0.95768229051738096"/>
    <n v="12"/>
    <x v="0"/>
    <n v="56"/>
  </r>
  <r>
    <s v="EMP1012"/>
    <s v="Ali Ali"/>
    <x v="8"/>
    <x v="1"/>
    <x v="0"/>
    <n v="36"/>
    <x v="0"/>
    <n v="1.0103112424860849"/>
    <n v="12"/>
    <x v="3"/>
    <n v="35"/>
  </r>
  <r>
    <s v="EMP1013"/>
    <s v="Divya Hussain"/>
    <x v="9"/>
    <x v="5"/>
    <x v="1"/>
    <n v="22"/>
    <x v="1"/>
    <n v="0.96075981590094484"/>
    <n v="12"/>
    <x v="0"/>
    <n v="55"/>
  </r>
  <r>
    <s v="EMP1014"/>
    <s v="Vikram Hussain"/>
    <x v="2"/>
    <x v="1"/>
    <x v="0"/>
    <n v="26"/>
    <x v="1"/>
    <n v="0.78866064008383885"/>
    <n v="12"/>
    <x v="2"/>
    <n v="94"/>
  </r>
  <r>
    <s v="EMP1015"/>
    <s v="Mark Mohammed"/>
    <x v="2"/>
    <x v="1"/>
    <x v="0"/>
    <n v="23"/>
    <x v="1"/>
    <n v="0.97691883737618213"/>
    <n v="12"/>
    <x v="0"/>
    <n v="48"/>
  </r>
  <r>
    <s v="EMP1016"/>
    <s v="James Kumar"/>
    <x v="10"/>
    <x v="2"/>
    <x v="0"/>
    <n v="27"/>
    <x v="1"/>
    <n v="0.94433070000809849"/>
    <n v="12"/>
    <x v="0"/>
    <n v="61"/>
  </r>
  <r>
    <s v="EMP1017"/>
    <s v="Zara Rodriguez"/>
    <x v="11"/>
    <x v="6"/>
    <x v="1"/>
    <n v="33"/>
    <x v="0"/>
    <n v="1.0807189542483659"/>
    <n v="12"/>
    <x v="3"/>
    <n v="11"/>
  </r>
  <r>
    <s v="EMP1018"/>
    <s v="Karan Al Mansoori"/>
    <x v="5"/>
    <x v="4"/>
    <x v="0"/>
    <n v="30"/>
    <x v="0"/>
    <n v="0.79703746458283631"/>
    <n v="3"/>
    <x v="2"/>
    <n v="92"/>
  </r>
  <r>
    <s v="EMP1019"/>
    <s v="Faisal Sharma"/>
    <x v="12"/>
    <x v="3"/>
    <x v="0"/>
    <n v="37"/>
    <x v="0"/>
    <n v="1.1130407334211683"/>
    <n v="12"/>
    <x v="1"/>
    <n v="5"/>
  </r>
  <r>
    <s v="EMP1020"/>
    <s v="Pooja Abdullah"/>
    <x v="0"/>
    <x v="0"/>
    <x v="1"/>
    <n v="41"/>
    <x v="2"/>
    <n v="0.91091583734702175"/>
    <n v="12"/>
    <x v="0"/>
    <n v="69"/>
  </r>
  <r>
    <s v="EMP1021"/>
    <s v="Andrew Nair"/>
    <x v="13"/>
    <x v="4"/>
    <x v="0"/>
    <n v="31"/>
    <x v="0"/>
    <n v="0.85493632471178671"/>
    <n v="12"/>
    <x v="0"/>
    <n v="78"/>
  </r>
  <r>
    <s v="EMP1022"/>
    <s v="Khalid Thomas"/>
    <x v="2"/>
    <x v="1"/>
    <x v="0"/>
    <n v="28"/>
    <x v="1"/>
    <n v="0.99476537614659677"/>
    <n v="12"/>
    <x v="0"/>
    <n v="43"/>
  </r>
  <r>
    <s v="EMP1023"/>
    <s v="Anna Mohammed"/>
    <x v="1"/>
    <x v="0"/>
    <x v="1"/>
    <n v="22"/>
    <x v="1"/>
    <n v="0.88667633378529731"/>
    <n v="9"/>
    <x v="0"/>
    <n v="75"/>
  </r>
  <r>
    <s v="EMP1024"/>
    <s v="Carlos Lee"/>
    <x v="4"/>
    <x v="3"/>
    <x v="0"/>
    <n v="29"/>
    <x v="1"/>
    <n v="1.0553933747412005"/>
    <n v="12"/>
    <x v="3"/>
    <n v="21"/>
  </r>
  <r>
    <s v="EMP1025"/>
    <s v="Noor Farooq"/>
    <x v="14"/>
    <x v="6"/>
    <x v="1"/>
    <n v="25"/>
    <x v="1"/>
    <n v="0.97612942612942621"/>
    <n v="12"/>
    <x v="0"/>
    <n v="49"/>
  </r>
  <r>
    <s v="EMP1026"/>
    <s v="Neha Singh"/>
    <x v="15"/>
    <x v="2"/>
    <x v="1"/>
    <n v="39"/>
    <x v="0"/>
    <n v="0.83117031789983853"/>
    <n v="12"/>
    <x v="2"/>
    <n v="84"/>
  </r>
  <r>
    <s v="EMP1027"/>
    <s v="Divya Kumar"/>
    <x v="1"/>
    <x v="0"/>
    <x v="1"/>
    <n v="32"/>
    <x v="0"/>
    <n v="1.006002663111544"/>
    <n v="9"/>
    <x v="3"/>
    <n v="39"/>
  </r>
  <r>
    <s v="EMP1028"/>
    <s v="Rachel Garcia"/>
    <x v="16"/>
    <x v="3"/>
    <x v="1"/>
    <n v="41"/>
    <x v="2"/>
    <n v="1.1045083783655969"/>
    <n v="12"/>
    <x v="1"/>
    <n v="8"/>
  </r>
  <r>
    <s v="EMP1029"/>
    <s v="Amal Abdullah"/>
    <x v="0"/>
    <x v="0"/>
    <x v="1"/>
    <n v="45"/>
    <x v="2"/>
    <n v="0.89548794841367074"/>
    <n v="12"/>
    <x v="0"/>
    <n v="72"/>
  </r>
  <r>
    <s v="EMP1030"/>
    <s v="Layla Mohammed"/>
    <x v="13"/>
    <x v="4"/>
    <x v="1"/>
    <n v="31"/>
    <x v="0"/>
    <n v="0.96687191382483606"/>
    <n v="12"/>
    <x v="0"/>
    <n v="52"/>
  </r>
  <r>
    <s v="EMP1031"/>
    <s v="Pooja Joseph"/>
    <x v="5"/>
    <x v="4"/>
    <x v="1"/>
    <n v="29"/>
    <x v="1"/>
    <n v="0.95586469905154281"/>
    <n v="12"/>
    <x v="0"/>
    <n v="58"/>
  </r>
  <r>
    <s v="EMP1032"/>
    <s v="Lisa Gupta"/>
    <x v="17"/>
    <x v="5"/>
    <x v="1"/>
    <n v="26"/>
    <x v="1"/>
    <n v="1.008854588527264"/>
    <n v="12"/>
    <x v="3"/>
    <n v="37"/>
  </r>
  <r>
    <s v="EMP1033"/>
    <s v="David Singh"/>
    <x v="6"/>
    <x v="5"/>
    <x v="0"/>
    <n v="33"/>
    <x v="0"/>
    <n v="1.0094221103641392"/>
    <n v="12"/>
    <x v="3"/>
    <n v="36"/>
  </r>
  <r>
    <s v="EMP1034"/>
    <s v="Noor Hussain"/>
    <x v="18"/>
    <x v="5"/>
    <x v="1"/>
    <n v="38"/>
    <x v="0"/>
    <n v="1.0573676073134541"/>
    <n v="12"/>
    <x v="3"/>
    <n v="19"/>
  </r>
  <r>
    <s v="EMP1035"/>
    <s v="John Gupta"/>
    <x v="13"/>
    <x v="4"/>
    <x v="0"/>
    <n v="24"/>
    <x v="1"/>
    <n v="0.70884025123796945"/>
    <n v="12"/>
    <x v="2"/>
    <n v="98"/>
  </r>
  <r>
    <s v="EMP1036"/>
    <s v="Lisa Abdullah"/>
    <x v="4"/>
    <x v="3"/>
    <x v="1"/>
    <n v="25"/>
    <x v="1"/>
    <n v="1.0272519242770959"/>
    <n v="3"/>
    <x v="3"/>
    <n v="30"/>
  </r>
  <r>
    <s v="EMP1037"/>
    <s v="Salma Patel"/>
    <x v="9"/>
    <x v="5"/>
    <x v="1"/>
    <n v="22"/>
    <x v="1"/>
    <n v="1.0361494252873564"/>
    <n v="4"/>
    <x v="3"/>
    <n v="25"/>
  </r>
  <r>
    <s v="EMP1038"/>
    <s v="Andrew Brown"/>
    <x v="19"/>
    <x v="1"/>
    <x v="0"/>
    <n v="34"/>
    <x v="0"/>
    <n v="0.93979446847831205"/>
    <n v="12"/>
    <x v="0"/>
    <n v="62"/>
  </r>
  <r>
    <s v="EMP1039"/>
    <s v="Faisal Hussain"/>
    <x v="1"/>
    <x v="0"/>
    <x v="0"/>
    <n v="33"/>
    <x v="0"/>
    <n v="1.0036916520571155"/>
    <n v="12"/>
    <x v="3"/>
    <n v="40"/>
  </r>
  <r>
    <s v="EMP1040"/>
    <s v="Lisa Mathew"/>
    <x v="10"/>
    <x v="2"/>
    <x v="1"/>
    <n v="33"/>
    <x v="0"/>
    <n v="0.86054573185514449"/>
    <n v="12"/>
    <x v="0"/>
    <n v="77"/>
  </r>
  <r>
    <s v="EMP1041"/>
    <s v="Sophia Singh"/>
    <x v="15"/>
    <x v="2"/>
    <x v="1"/>
    <n v="25"/>
    <x v="1"/>
    <n v="0.84461702970655173"/>
    <n v="12"/>
    <x v="2"/>
    <n v="82"/>
  </r>
  <r>
    <s v="EMP1042"/>
    <s v="Daniel Farooq"/>
    <x v="19"/>
    <x v="1"/>
    <x v="0"/>
    <n v="25"/>
    <x v="1"/>
    <n v="0.98874649317956742"/>
    <n v="12"/>
    <x v="0"/>
    <n v="45"/>
  </r>
  <r>
    <s v="EMP1043"/>
    <s v="Lisa Reddy"/>
    <x v="10"/>
    <x v="2"/>
    <x v="1"/>
    <n v="30"/>
    <x v="0"/>
    <n v="0.93874696015828007"/>
    <n v="3"/>
    <x v="0"/>
    <n v="63"/>
  </r>
  <r>
    <s v="EMP1044"/>
    <s v="Mark Thomas"/>
    <x v="6"/>
    <x v="5"/>
    <x v="0"/>
    <n v="36"/>
    <x v="0"/>
    <n v="1.0497711132519223"/>
    <n v="9"/>
    <x v="3"/>
    <n v="23"/>
  </r>
  <r>
    <s v="EMP1045"/>
    <s v="Steven Gupta"/>
    <x v="8"/>
    <x v="1"/>
    <x v="0"/>
    <n v="39"/>
    <x v="0"/>
    <n v="0.82858488115906803"/>
    <n v="12"/>
    <x v="2"/>
    <n v="86"/>
  </r>
  <r>
    <s v="EMP1046"/>
    <s v="Imran Gupta"/>
    <x v="12"/>
    <x v="3"/>
    <x v="0"/>
    <n v="29"/>
    <x v="1"/>
    <n v="0.96455600850762135"/>
    <n v="12"/>
    <x v="0"/>
    <n v="54"/>
  </r>
  <r>
    <s v="EMP1047"/>
    <s v="Rajesh Singh"/>
    <x v="9"/>
    <x v="5"/>
    <x v="0"/>
    <n v="28"/>
    <x v="1"/>
    <n v="1.0311868780709359"/>
    <n v="12"/>
    <x v="3"/>
    <n v="27"/>
  </r>
  <r>
    <s v="EMP1048"/>
    <s v="Salma Gupta"/>
    <x v="2"/>
    <x v="1"/>
    <x v="1"/>
    <n v="30"/>
    <x v="0"/>
    <n v="0.91107475410421268"/>
    <n v="12"/>
    <x v="0"/>
    <n v="68"/>
  </r>
  <r>
    <s v="EMP1049"/>
    <s v="Steven Verma"/>
    <x v="9"/>
    <x v="5"/>
    <x v="0"/>
    <n v="22"/>
    <x v="1"/>
    <n v="1.0849737762237761"/>
    <n v="12"/>
    <x v="3"/>
    <n v="10"/>
  </r>
  <r>
    <s v="EMP1050"/>
    <s v="Sarah Sharma"/>
    <x v="17"/>
    <x v="5"/>
    <x v="1"/>
    <n v="26"/>
    <x v="1"/>
    <n v="1.0718071519795658"/>
    <n v="12"/>
    <x v="3"/>
    <n v="14"/>
  </r>
  <r>
    <s v="EMP1051"/>
    <s v="Michael Hussain"/>
    <x v="3"/>
    <x v="2"/>
    <x v="0"/>
    <n v="41"/>
    <x v="2"/>
    <n v="0.83047318452617203"/>
    <n v="3"/>
    <x v="2"/>
    <n v="85"/>
  </r>
  <r>
    <s v="EMP1052"/>
    <s v="Sana Ali"/>
    <x v="13"/>
    <x v="4"/>
    <x v="1"/>
    <n v="22"/>
    <x v="1"/>
    <n v="0.68567094578828114"/>
    <n v="11"/>
    <x v="2"/>
    <n v="100"/>
  </r>
  <r>
    <s v="EMP1053"/>
    <s v="Robert Brown"/>
    <x v="13"/>
    <x v="4"/>
    <x v="0"/>
    <n v="26"/>
    <x v="1"/>
    <n v="0.85314066971165381"/>
    <n v="12"/>
    <x v="0"/>
    <n v="79"/>
  </r>
  <r>
    <s v="EMP1054"/>
    <s v="Steven Saeed"/>
    <x v="4"/>
    <x v="3"/>
    <x v="0"/>
    <n v="26"/>
    <x v="1"/>
    <n v="0.97842261904761907"/>
    <n v="12"/>
    <x v="0"/>
    <n v="47"/>
  </r>
  <r>
    <s v="EMP1055"/>
    <s v="Rachel Verma"/>
    <x v="19"/>
    <x v="1"/>
    <x v="1"/>
    <n v="29"/>
    <x v="1"/>
    <n v="0.95684724713792679"/>
    <n v="12"/>
    <x v="0"/>
    <n v="57"/>
  </r>
  <r>
    <s v="EMP1056"/>
    <s v="David Hussain"/>
    <x v="18"/>
    <x v="5"/>
    <x v="0"/>
    <n v="43"/>
    <x v="2"/>
    <n v="1.1487458897929734"/>
    <n v="12"/>
    <x v="1"/>
    <n v="2"/>
  </r>
  <r>
    <s v="EMP1057"/>
    <s v="Huda Saeed"/>
    <x v="11"/>
    <x v="6"/>
    <x v="1"/>
    <n v="31"/>
    <x v="0"/>
    <n v="1.0136982570806101"/>
    <n v="12"/>
    <x v="3"/>
    <n v="34"/>
  </r>
  <r>
    <s v="EMP1058"/>
    <s v="Priya Sharma"/>
    <x v="4"/>
    <x v="3"/>
    <x v="1"/>
    <n v="24"/>
    <x v="1"/>
    <n v="1.0277777777777777"/>
    <n v="6"/>
    <x v="3"/>
    <n v="29"/>
  </r>
  <r>
    <s v="EMP1059"/>
    <s v="Arjun Nair"/>
    <x v="9"/>
    <x v="5"/>
    <x v="0"/>
    <n v="22"/>
    <x v="1"/>
    <n v="1.075019475000125"/>
    <n v="12"/>
    <x v="3"/>
    <n v="13"/>
  </r>
  <r>
    <s v="EMP1060"/>
    <s v="Sophia Brown"/>
    <x v="8"/>
    <x v="1"/>
    <x v="1"/>
    <n v="38"/>
    <x v="0"/>
    <n v="0.92931023022321246"/>
    <n v="12"/>
    <x v="0"/>
    <n v="65"/>
  </r>
  <r>
    <s v="EMP1061"/>
    <s v="Emma Verma"/>
    <x v="2"/>
    <x v="1"/>
    <x v="1"/>
    <n v="28"/>
    <x v="1"/>
    <n v="0.98873182997209685"/>
    <n v="12"/>
    <x v="0"/>
    <n v="46"/>
  </r>
  <r>
    <s v="EMP1062"/>
    <s v="Rajesh Abdullah"/>
    <x v="13"/>
    <x v="4"/>
    <x v="0"/>
    <n v="24"/>
    <x v="1"/>
    <n v="0.79511173106583344"/>
    <n v="12"/>
    <x v="2"/>
    <n v="93"/>
  </r>
  <r>
    <s v="EMP1063"/>
    <s v="Sameer Patel"/>
    <x v="10"/>
    <x v="2"/>
    <x v="0"/>
    <n v="27"/>
    <x v="1"/>
    <n v="0.89742388424493214"/>
    <n v="12"/>
    <x v="0"/>
    <n v="71"/>
  </r>
  <r>
    <s v="EMP1064"/>
    <s v="John Nair"/>
    <x v="13"/>
    <x v="4"/>
    <x v="0"/>
    <n v="28"/>
    <x v="1"/>
    <n v="0.90775015468071663"/>
    <n v="12"/>
    <x v="0"/>
    <n v="70"/>
  </r>
  <r>
    <s v="EMP1065"/>
    <s v="Layla Mohammed"/>
    <x v="13"/>
    <x v="4"/>
    <x v="1"/>
    <n v="28"/>
    <x v="1"/>
    <n v="0.85160549523415741"/>
    <n v="12"/>
    <x v="0"/>
    <n v="80"/>
  </r>
  <r>
    <s v="EMP1066"/>
    <s v="Wei Saeed"/>
    <x v="20"/>
    <x v="0"/>
    <x v="0"/>
    <n v="28"/>
    <x v="1"/>
    <n v="1.1200548625885183"/>
    <n v="10"/>
    <x v="1"/>
    <n v="3"/>
  </r>
  <r>
    <s v="EMP1067"/>
    <s v="Pooja Iqbal"/>
    <x v="16"/>
    <x v="3"/>
    <x v="1"/>
    <n v="44"/>
    <x v="2"/>
    <n v="1.1114569461883281"/>
    <n v="12"/>
    <x v="1"/>
    <n v="6"/>
  </r>
  <r>
    <s v="EMP1068"/>
    <s v="Omar Iqbal"/>
    <x v="19"/>
    <x v="1"/>
    <x v="0"/>
    <n v="25"/>
    <x v="1"/>
    <n v="1.096421865876672"/>
    <n v="12"/>
    <x v="3"/>
    <n v="9"/>
  </r>
  <r>
    <s v="EMP1069"/>
    <s v="Rajesh Gupta"/>
    <x v="21"/>
    <x v="5"/>
    <x v="0"/>
    <n v="33"/>
    <x v="0"/>
    <n v="1.0699169556074124"/>
    <n v="12"/>
    <x v="3"/>
    <n v="15"/>
  </r>
  <r>
    <s v="EMP1070"/>
    <s v="Huda Gupta"/>
    <x v="19"/>
    <x v="1"/>
    <x v="1"/>
    <n v="39"/>
    <x v="0"/>
    <n v="0.70131325251075671"/>
    <n v="12"/>
    <x v="2"/>
    <n v="99"/>
  </r>
  <r>
    <s v="EMP1071"/>
    <s v="Sana Lee"/>
    <x v="15"/>
    <x v="2"/>
    <x v="1"/>
    <n v="31"/>
    <x v="0"/>
    <n v="0.80421376750697071"/>
    <n v="12"/>
    <x v="2"/>
    <n v="90"/>
  </r>
  <r>
    <s v="EMP1072"/>
    <s v="Andrew Saeed"/>
    <x v="2"/>
    <x v="1"/>
    <x v="0"/>
    <n v="26"/>
    <x v="1"/>
    <n v="1.001848200497728"/>
    <n v="12"/>
    <x v="3"/>
    <n v="41"/>
  </r>
  <r>
    <s v="EMP1073"/>
    <s v="Ali Patel"/>
    <x v="5"/>
    <x v="4"/>
    <x v="0"/>
    <n v="37"/>
    <x v="0"/>
    <n v="0.8643450350731765"/>
    <n v="12"/>
    <x v="0"/>
    <n v="76"/>
  </r>
  <r>
    <s v="EMP1074"/>
    <s v="Mei Smith"/>
    <x v="11"/>
    <x v="6"/>
    <x v="1"/>
    <n v="32"/>
    <x v="0"/>
    <n v="0.97202380952380951"/>
    <n v="12"/>
    <x v="0"/>
    <n v="51"/>
  </r>
  <r>
    <s v="EMP1075"/>
    <s v="Zara Nair"/>
    <x v="13"/>
    <x v="4"/>
    <x v="1"/>
    <n v="31"/>
    <x v="0"/>
    <n v="0.8511664692704447"/>
    <n v="12"/>
    <x v="0"/>
    <n v="81"/>
  </r>
  <r>
    <s v="EMP1076"/>
    <s v="Grace Garcia"/>
    <x v="9"/>
    <x v="5"/>
    <x v="1"/>
    <n v="29"/>
    <x v="1"/>
    <n v="1.0556856666913592"/>
    <n v="12"/>
    <x v="3"/>
    <n v="20"/>
  </r>
  <r>
    <s v="EMP1077"/>
    <s v="Daniel Hussain"/>
    <x v="15"/>
    <x v="2"/>
    <x v="0"/>
    <n v="32"/>
    <x v="0"/>
    <n v="0.99773233061943634"/>
    <n v="12"/>
    <x v="0"/>
    <n v="42"/>
  </r>
  <r>
    <s v="EMP1078"/>
    <s v="Ravi Rodriguez"/>
    <x v="2"/>
    <x v="1"/>
    <x v="0"/>
    <n v="22"/>
    <x v="1"/>
    <n v="0.80946266782204368"/>
    <n v="7"/>
    <x v="2"/>
    <n v="89"/>
  </r>
  <r>
    <s v="EMP1079"/>
    <s v="Kavya Garcia"/>
    <x v="14"/>
    <x v="6"/>
    <x v="1"/>
    <n v="28"/>
    <x v="1"/>
    <n v="1.0083333333333333"/>
    <n v="10"/>
    <x v="3"/>
    <n v="38"/>
  </r>
  <r>
    <s v="EMP1080"/>
    <s v="Kavya Rodriguez"/>
    <x v="2"/>
    <x v="1"/>
    <x v="1"/>
    <n v="23"/>
    <x v="1"/>
    <n v="0.91293771883200792"/>
    <n v="12"/>
    <x v="0"/>
    <n v="67"/>
  </r>
  <r>
    <s v="EMP1081"/>
    <s v="Omar Patel"/>
    <x v="6"/>
    <x v="5"/>
    <x v="0"/>
    <n v="29"/>
    <x v="1"/>
    <n v="1.0673787931658039"/>
    <n v="12"/>
    <x v="3"/>
    <n v="16"/>
  </r>
  <r>
    <s v="EMP1082"/>
    <s v="Hala Brown"/>
    <x v="2"/>
    <x v="1"/>
    <x v="1"/>
    <n v="22"/>
    <x v="1"/>
    <n v="0.92212970419744644"/>
    <n v="12"/>
    <x v="0"/>
    <n v="66"/>
  </r>
  <r>
    <s v="EMP1083"/>
    <s v="Imran Farooq"/>
    <x v="15"/>
    <x v="2"/>
    <x v="0"/>
    <n v="25"/>
    <x v="1"/>
    <n v="0.89168656138845259"/>
    <n v="12"/>
    <x v="0"/>
    <n v="74"/>
  </r>
  <r>
    <s v="EMP1084"/>
    <s v="Rahul Hassan"/>
    <x v="22"/>
    <x v="6"/>
    <x v="0"/>
    <n v="30"/>
    <x v="0"/>
    <n v="1.0347250566893424"/>
    <n v="12"/>
    <x v="3"/>
    <n v="26"/>
  </r>
  <r>
    <s v="EMP1085"/>
    <s v="Anjali Smith"/>
    <x v="9"/>
    <x v="5"/>
    <x v="1"/>
    <n v="27"/>
    <x v="1"/>
    <n v="1.1091172220157726"/>
    <n v="12"/>
    <x v="1"/>
    <n v="7"/>
  </r>
  <r>
    <s v="EMP1086"/>
    <s v="Ahmed Patel"/>
    <x v="9"/>
    <x v="5"/>
    <x v="0"/>
    <n v="34"/>
    <x v="0"/>
    <n v="1.0671793845892517"/>
    <n v="12"/>
    <x v="3"/>
    <n v="17"/>
  </r>
  <r>
    <s v="EMP1087"/>
    <s v="Zara Brown"/>
    <x v="2"/>
    <x v="1"/>
    <x v="1"/>
    <n v="33"/>
    <x v="0"/>
    <n v="0.74955650212475955"/>
    <n v="12"/>
    <x v="2"/>
    <n v="95"/>
  </r>
  <r>
    <s v="EMP1088"/>
    <s v="Karan Al Mansoori"/>
    <x v="2"/>
    <x v="1"/>
    <x v="0"/>
    <n v="26"/>
    <x v="1"/>
    <n v="0.72250351180171446"/>
    <n v="12"/>
    <x v="2"/>
    <n v="97"/>
  </r>
  <r>
    <s v="EMP1089"/>
    <s v="Rachel Nair"/>
    <x v="12"/>
    <x v="3"/>
    <x v="1"/>
    <n v="32"/>
    <x v="0"/>
    <n v="1.0281565656565657"/>
    <n v="12"/>
    <x v="3"/>
    <n v="28"/>
  </r>
  <r>
    <s v="EMP1090"/>
    <s v="Rajesh Mohammed"/>
    <x v="19"/>
    <x v="1"/>
    <x v="0"/>
    <n v="30"/>
    <x v="0"/>
    <n v="0.82419143268256601"/>
    <n v="12"/>
    <x v="2"/>
    <n v="87"/>
  </r>
  <r>
    <s v="EMP1091"/>
    <s v="Nikhil Hussain"/>
    <x v="10"/>
    <x v="2"/>
    <x v="0"/>
    <n v="25"/>
    <x v="1"/>
    <n v="0.9549606149377029"/>
    <n v="12"/>
    <x v="0"/>
    <n v="59"/>
  </r>
  <r>
    <s v="EMP1092"/>
    <s v="Ravi Nair"/>
    <x v="6"/>
    <x v="5"/>
    <x v="0"/>
    <n v="29"/>
    <x v="1"/>
    <n v="1.0233681619372408"/>
    <n v="12"/>
    <x v="3"/>
    <n v="32"/>
  </r>
  <r>
    <s v="EMP1093"/>
    <s v="Andrew Ali"/>
    <x v="6"/>
    <x v="5"/>
    <x v="0"/>
    <n v="25"/>
    <x v="1"/>
    <n v="1.0640784925668647"/>
    <n v="12"/>
    <x v="3"/>
    <n v="18"/>
  </r>
  <r>
    <s v="EMP1094"/>
    <s v="Andrew Lee"/>
    <x v="2"/>
    <x v="1"/>
    <x v="0"/>
    <n v="33"/>
    <x v="0"/>
    <n v="0.95400149187380379"/>
    <n v="12"/>
    <x v="0"/>
    <n v="60"/>
  </r>
  <r>
    <s v="EMP1095"/>
    <s v="Priya Al Mansoori"/>
    <x v="0"/>
    <x v="0"/>
    <x v="1"/>
    <n v="35"/>
    <x v="0"/>
    <n v="1.1176459867486948"/>
    <n v="12"/>
    <x v="1"/>
    <n v="4"/>
  </r>
  <r>
    <s v="EMP1096"/>
    <s v="Tom Sharma"/>
    <x v="2"/>
    <x v="1"/>
    <x v="0"/>
    <n v="30"/>
    <x v="0"/>
    <n v="0.9737315206813596"/>
    <n v="12"/>
    <x v="0"/>
    <n v="50"/>
  </r>
  <r>
    <s v="EMP1097"/>
    <s v="Adeel Wilson"/>
    <x v="1"/>
    <x v="0"/>
    <x v="0"/>
    <n v="25"/>
    <x v="1"/>
    <n v="1.0231853849207553"/>
    <n v="12"/>
    <x v="3"/>
    <n v="33"/>
  </r>
  <r>
    <s v="EMP1098"/>
    <s v="Daniel Wilson"/>
    <x v="8"/>
    <x v="1"/>
    <x v="0"/>
    <n v="36"/>
    <x v="0"/>
    <n v="1.0789232156904403"/>
    <n v="12"/>
    <x v="3"/>
    <n v="12"/>
  </r>
  <r>
    <s v="EMP1099"/>
    <s v="Steven Ali"/>
    <x v="9"/>
    <x v="5"/>
    <x v="0"/>
    <n v="27"/>
    <x v="1"/>
    <n v="1.0519531080386344"/>
    <n v="12"/>
    <x v="3"/>
    <n v="22"/>
  </r>
  <r>
    <s v="EMP1100"/>
    <s v="Yasmin Mohammed"/>
    <x v="5"/>
    <x v="4"/>
    <x v="1"/>
    <n v="35"/>
    <x v="0"/>
    <n v="0.72925981464595047"/>
    <n v="12"/>
    <x v="2"/>
    <n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9CCD9-DDCA-4CBD-B657-D048E5183E54}" name="PivotTable12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E14:G18" firstHeaderRow="0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numFmtId="10"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erformance" fld="7" subtotal="average" baseField="6" baseItem="0" numFmtId="10"/>
    <dataField name="Employee Count" fld="0" subtotal="count" baseField="0" baseItem="0"/>
  </dataFields>
  <formats count="6">
    <format dxfId="201">
      <pivotArea type="all" dataOnly="0" outline="0" fieldPosition="0"/>
    </format>
    <format dxfId="200">
      <pivotArea outline="0" collapsedLevelsAreSubtotals="1" fieldPosition="0"/>
    </format>
    <format dxfId="199">
      <pivotArea field="6" type="button" dataOnly="0" labelOnly="1" outline="0" axis="axisRow" fieldPosition="0"/>
    </format>
    <format dxfId="198">
      <pivotArea dataOnly="0" labelOnly="1" fieldPosition="0">
        <references count="1">
          <reference field="6" count="0"/>
        </references>
      </pivotArea>
    </format>
    <format dxfId="197">
      <pivotArea dataOnly="0" labelOnly="1" grandRow="1" outline="0" fieldPosition="0"/>
    </format>
    <format dxfId="1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A666E-DB07-4B8D-95C5-9CB1E4A15E67}" name="PivotTable11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14:C17" firstHeaderRow="0" firstDataRow="1" firstDataCol="1"/>
  <pivotFields count="11"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numFmtId="10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Performance" fld="7" subtotal="average" baseField="4" baseItem="0" numFmtId="10"/>
    <dataField name="Employee Count" fld="0" subtotal="count" baseField="0" baseItem="0"/>
  </dataFields>
  <formats count="6"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4" type="button" dataOnly="0" labelOnly="1" outline="0" axis="axisRow" fieldPosition="0"/>
    </format>
    <format dxfId="192">
      <pivotArea dataOnly="0" labelOnly="1" fieldPosition="0">
        <references count="1">
          <reference field="4" count="0"/>
        </references>
      </pivotArea>
    </format>
    <format dxfId="191">
      <pivotArea dataOnly="0" labelOnly="1" grandRow="1" outline="0" fieldPosition="0"/>
    </format>
    <format dxfId="1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FC218-AC73-421E-B892-761C50FF0871}" name="PivotTable10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le">
  <location ref="I3:K27" firstHeaderRow="0" firstDataRow="1" firstDataCol="1"/>
  <pivotFields count="11">
    <pivotField dataField="1" showAll="0"/>
    <pivotField showAll="0"/>
    <pivotField axis="axisRow" showAll="0">
      <items count="24">
        <item x="4"/>
        <item x="20"/>
        <item x="21"/>
        <item x="18"/>
        <item x="16"/>
        <item x="12"/>
        <item x="14"/>
        <item x="11"/>
        <item x="22"/>
        <item x="1"/>
        <item x="0"/>
        <item x="15"/>
        <item x="10"/>
        <item x="3"/>
        <item x="17"/>
        <item x="2"/>
        <item x="8"/>
        <item x="19"/>
        <item x="6"/>
        <item x="5"/>
        <item x="9"/>
        <item x="13"/>
        <item x="7"/>
        <item t="default"/>
      </items>
    </pivotField>
    <pivotField showAll="0"/>
    <pivotField showAll="0"/>
    <pivotField showAll="0"/>
    <pivotField showAll="0"/>
    <pivotField dataField="1" numFmtId="10" showAll="0"/>
    <pivotField showAll="0"/>
    <pivotField showAll="0"/>
    <pivotField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g_performance_pct" fld="7" subtotal="average" baseField="2" baseItem="0" numFmtId="10"/>
    <dataField name="Count of employee_id" fld="0" subtotal="count" baseField="0" baseItem="0"/>
  </dataFields>
  <formats count="6"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2" type="button" dataOnly="0" labelOnly="1" outline="0" axis="axisRow" fieldPosition="0"/>
    </format>
    <format dxfId="186">
      <pivotArea dataOnly="0" labelOnly="1" fieldPosition="0">
        <references count="1">
          <reference field="2" count="0"/>
        </references>
      </pivotArea>
    </format>
    <format dxfId="185">
      <pivotArea dataOnly="0" labelOnly="1" grandRow="1" outline="0" fieldPosition="0"/>
    </format>
    <format dxfId="1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70DD8-3404-4D6D-874E-72481D06BB9F}" name="PivotTable9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1:B34" firstHeaderRow="1" firstDataRow="1" firstDataCol="1"/>
  <pivotFields count="10"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0"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performance_pct" fld="6" subtotal="average" baseField="9" baseItem="1" numFmtId="10"/>
  </dataFields>
  <formats count="6"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9" type="button" dataOnly="0" labelOnly="1" outline="0" axis="axisRow" fieldPosition="0"/>
    </format>
    <format dxfId="180">
      <pivotArea dataOnly="0" labelOnly="1" fieldPosition="0">
        <references count="1">
          <reference field="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79">
      <pivotArea dataOnly="0" labelOnly="1" grandRow="1" outline="0" fieldPosition="0"/>
    </format>
    <format dxfId="178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364EE-8EDC-4326-BC25-F678432E9648}" name="PivotTable7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erformance Category">
  <location ref="E3:F8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Employee Count" fld="0" subtotal="count" baseField="0" baseItem="0"/>
  </dataFields>
  <formats count="6"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9" type="button" dataOnly="0" labelOnly="1" outline="0" axis="axisRow" fieldPosition="0"/>
    </format>
    <format dxfId="173">
      <pivotArea dataOnly="0" labelOnly="1" fieldPosition="0">
        <references count="1">
          <reference field="9" count="0"/>
        </references>
      </pivotArea>
    </format>
    <format dxfId="172">
      <pivotArea dataOnly="0" labelOnly="1" grandRow="1" outline="0" fieldPosition="0"/>
    </format>
    <format dxfId="171">
      <pivotArea dataOnly="0" labelOnly="1" outline="0" axis="axisValues" fieldPosition="0"/>
    </format>
  </formats>
  <chartFormats count="5"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68E31-F428-4E9E-B399-15569254267A}" name="PivotTable5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Department">
  <location ref="A3:B11" firstHeaderRow="1" firstDataRow="1" firstDataCol="1"/>
  <pivotFields count="11">
    <pivotField showAll="0"/>
    <pivotField showAll="0"/>
    <pivotField showAll="0"/>
    <pivotField axis="axisRow" showAll="0" sortType="ascending">
      <items count="8">
        <item x="4"/>
        <item x="5"/>
        <item x="3"/>
        <item x="6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0" showAll="0"/>
    <pivotField showAll="0"/>
    <pivotField showAll="0"/>
    <pivotField showAll="0"/>
  </pivotFields>
  <rowFields count="1">
    <field x="3"/>
  </rowFields>
  <rowItems count="8">
    <i>
      <x/>
    </i>
    <i>
      <x v="5"/>
    </i>
    <i>
      <x v="6"/>
    </i>
    <i>
      <x v="4"/>
    </i>
    <i>
      <x v="3"/>
    </i>
    <i>
      <x v="2"/>
    </i>
    <i>
      <x v="1"/>
    </i>
    <i t="grand">
      <x/>
    </i>
  </rowItems>
  <colItems count="1">
    <i/>
  </colItems>
  <dataFields count="1">
    <dataField name="Average Performance" fld="7" subtotal="average" baseField="3" baseItem="0" numFmtId="10"/>
  </dataFields>
  <formats count="7">
    <format dxfId="2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3" type="button" dataOnly="0" labelOnly="1" outline="0" axis="axisRow" fieldPosition="0"/>
    </format>
    <format dxfId="166">
      <pivotArea dataOnly="0" labelOnly="1" fieldPosition="0">
        <references count="1">
          <reference field="3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</formats>
  <chartFormats count="1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F16CB-CF1A-4494-9866-02EB35AC1722}" name="PivotTable3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04" firstHeaderRow="1" firstDataRow="1" firstDataCol="1"/>
  <pivotFields count="10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numFmtId="14" multipleItemSelectionAllowed="1" showAll="0" includeNewItemsInFilter="1" countASubtotal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countA"/>
      </items>
    </pivotField>
    <pivotField showAll="0"/>
    <pivotField showAll="0"/>
    <pivotField showAll="0"/>
    <pivotField showAll="0"/>
    <pivotField numFmtId="10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Months Recorded" fld="1" subtotal="count" baseField="0" baseItem="0"/>
  </dataFields>
  <formats count="7"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0" type="button" dataOnly="0" labelOnly="1" outline="0" axis="axisRow" fieldPosition="0"/>
    </format>
    <format dxfId="15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7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56">
      <pivotArea dataOnly="0" labelOnly="1" grandRow="1" outline="0" fieldPosition="0"/>
    </format>
    <format dxfId="1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A7EB5-E337-4505-85F1-78B1F80437D1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A1:B14" firstHeaderRow="1" firstDataRow="1" firstDataCol="1"/>
  <pivotFields count="10">
    <pivotField dataField="1" showAll="0"/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numFmtId="10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5636A0-BC74-45CB-BFA3-631C33C34F86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employee_id" tableColumnId="1"/>
      <queryTableField id="2" name="name" tableColumnId="2"/>
      <queryTableField id="3" name="role" tableColumnId="3"/>
      <queryTableField id="4" name="department" tableColumnId="4"/>
      <queryTableField id="5" name="age" tableColumnId="5"/>
      <queryTableField id="6" name="gender" tableColumnId="6"/>
      <queryTableField id="7" name="join_date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6CC0B89-1D4B-471D-9D7B-FBD6960268E1}" autoFormatId="16" applyNumberFormats="0" applyBorderFormats="0" applyFontFormats="0" applyPatternFormats="0" applyAlignmentFormats="0" applyWidthHeightFormats="0">
  <queryTableRefresh nextId="9" unboundColumnsRight="4">
    <queryTableFields count="8">
      <queryTableField id="1" name="employee_id" tableColumnId="1"/>
      <queryTableField id="2" name="month" tableColumnId="2"/>
      <queryTableField id="3" name="target" tableColumnId="3"/>
      <queryTableField id="4" name="achieved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ED8A7-2DAA-4892-BFCA-4B9DAA54894D}" name="tbl_employee" displayName="tbl_employee" ref="A1:I101" tableType="queryTable" totalsRowShown="0" headerRowDxfId="2" dataDxfId="12">
  <autoFilter ref="A1:I101" xr:uid="{EC2ED8A7-2DAA-4892-BFCA-4B9DAA54894D}"/>
  <tableColumns count="9">
    <tableColumn id="1" xr3:uid="{34C3F26F-835B-401D-804B-A79CDB1750E2}" uniqueName="1" name="employee_id" queryTableFieldId="1" dataDxfId="11"/>
    <tableColumn id="2" xr3:uid="{29CB9A14-2C82-495F-AED3-40B6BF6714D5}" uniqueName="2" name="name" queryTableFieldId="2" dataDxfId="10"/>
    <tableColumn id="3" xr3:uid="{DA2AEC56-2536-423C-B5BC-41D8A1128A61}" uniqueName="3" name="role" queryTableFieldId="3" dataDxfId="9"/>
    <tableColumn id="4" xr3:uid="{3BB15FCA-BCBB-4C18-9F67-2BA63C0C7514}" uniqueName="4" name="department" queryTableFieldId="4" dataDxfId="8"/>
    <tableColumn id="5" xr3:uid="{88EDC6C4-AC96-49C4-83E8-828C4B0EDFB1}" uniqueName="5" name="age" queryTableFieldId="5" dataDxfId="7"/>
    <tableColumn id="6" xr3:uid="{5AD862AB-C3AE-46B0-90DC-026FEAF865AF}" uniqueName="6" name="gender" queryTableFieldId="6" dataDxfId="6"/>
    <tableColumn id="7" xr3:uid="{4758A254-970E-4C01-89F9-0B27179A1954}" uniqueName="7" name="join_date" queryTableFieldId="7" dataDxfId="5"/>
    <tableColumn id="8" xr3:uid="{715544E7-6239-4A17-84B2-034116F6D4AF}" uniqueName="8" name="ID_count" queryTableFieldId="8" dataDxfId="4">
      <calculatedColumnFormula>COUNTIF(tbl_employee[employee_id],tbl_employee[[#This Row],[employee_id]])</calculatedColumnFormula>
    </tableColumn>
    <tableColumn id="9" xr3:uid="{C0A372C3-D91C-426F-82D5-C27FFE0D3A2B}" uniqueName="9" name="join_year" queryTableFieldId="9" dataDxfId="3">
      <calculatedColumnFormula>YEAR(tbl_employee[[#This Row],[join_date]])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D0905C-92D1-4066-8E63-99D5E5768CE0}" name="tbl_performance" displayName="tbl_performance" ref="A1:H1130" tableType="queryTable" totalsRowShown="0" headerRowDxfId="1" dataDxfId="162">
  <autoFilter ref="A1:H1130" xr:uid="{33D0905C-92D1-4066-8E63-99D5E5768CE0}"/>
  <tableColumns count="8">
    <tableColumn id="1" xr3:uid="{27C23FEA-D460-4638-9F6F-8F4B167AD9EF}" uniqueName="1" name="employee_id" queryTableFieldId="1" dataDxfId="20"/>
    <tableColumn id="2" xr3:uid="{200AD1AE-5EAD-4FA3-ABD9-0F1C743BAA30}" uniqueName="2" name="month" queryTableFieldId="2" dataDxfId="19"/>
    <tableColumn id="3" xr3:uid="{FF4758B9-7420-49AF-9486-0D288926B9BA}" uniqueName="3" name="target" queryTableFieldId="3" dataDxfId="18"/>
    <tableColumn id="4" xr3:uid="{3391BCE3-B748-4DF3-BD54-DBC7878EA204}" uniqueName="4" name="achieved" queryTableFieldId="4" dataDxfId="17"/>
    <tableColumn id="5" xr3:uid="{59A8B444-E1A6-4D14-B1AF-38352F65638B}" uniqueName="5" name="employee_month_key" queryTableFieldId="5" dataDxfId="16">
      <calculatedColumnFormula>tbl_performance[[#This Row],[employee_id]]&amp;"-"&amp;TEXT(tbl_performance[[#This Row],[month]],"mm")</calculatedColumnFormula>
    </tableColumn>
    <tableColumn id="6" xr3:uid="{7B7AE542-3297-4B18-B953-D9BE9E794305}" uniqueName="6" name="key_count" queryTableFieldId="6" dataDxfId="15">
      <calculatedColumnFormula>COUNTIF(tbl_performance[employee_month_key],tbl_performance[[#This Row],[employee_month_key]])</calculatedColumnFormula>
    </tableColumn>
    <tableColumn id="7" xr3:uid="{1C368553-E90A-470E-BEFF-1A89126D4A90}" uniqueName="7" name="performance_pct" queryTableFieldId="7" dataDxfId="14">
      <calculatedColumnFormula>tbl_performance[[#This Row],[achieved]]/tbl_performance[[#This Row],[target]]</calculatedColumnFormula>
    </tableColumn>
    <tableColumn id="8" xr3:uid="{FB4FF4E7-D951-4951-8D3F-2AC156897291}" uniqueName="8" name="performance_status" queryTableFieldId="8" dataDxfId="13">
      <calculatedColumnFormula array="1">_xlfn.IFS(tbl_performance[[#This Row],[performance_pct]]&gt;=1.1,"Excellent",tbl_performance[[#This Row],[performance_pct]]&gt;=1,"Good",tbl_performance[[#This Row],[performance_pct]]&gt;=0.85,"Average",TRUE,"Poor")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8BD8A3-45CA-4852-86AC-01AB184F3BEE}" name="tbl_employee_summary" displayName="tbl_employee_summary" ref="A1:K101" totalsRowShown="0" headerRowDxfId="0" dataDxfId="202">
  <autoFilter ref="A1:K101" xr:uid="{718BD8A3-45CA-4852-86AC-01AB184F3BEE}"/>
  <tableColumns count="11">
    <tableColumn id="1" xr3:uid="{08828926-8069-4F29-B50D-EA95D7970632}" name="employee_id" dataDxfId="213"/>
    <tableColumn id="2" xr3:uid="{D19E5370-D062-4723-B73E-2778CB985689}" name="name" dataDxfId="212">
      <calculatedColumnFormula>_xlfn.XLOOKUP(A2,tbl_employee[employee_id],tbl_employee[name])</calculatedColumnFormula>
    </tableColumn>
    <tableColumn id="3" xr3:uid="{584DB7BD-4CAB-45FD-A90B-4A31F2CBEB53}" name="role" dataDxfId="211">
      <calculatedColumnFormula>_xlfn.XLOOKUP(A2,tbl_employee[employee_id],tbl_employee[role])</calculatedColumnFormula>
    </tableColumn>
    <tableColumn id="4" xr3:uid="{FF3D4014-CD04-4C59-A629-4C214B06B93B}" name="department" dataDxfId="210">
      <calculatedColumnFormula>_xlfn.XLOOKUP(A2,tbl_employee[employee_id],tbl_employee[department])</calculatedColumnFormula>
    </tableColumn>
    <tableColumn id="9" xr3:uid="{752ABD2F-FC42-4783-B84B-494F800F2648}" name="gender" dataDxfId="209">
      <calculatedColumnFormula>_xlfn.XLOOKUP(A2,tbl_employee[employee_id],tbl_employee[gender])</calculatedColumnFormula>
    </tableColumn>
    <tableColumn id="10" xr3:uid="{E6340D08-730D-42B1-A451-7EA6CE2B40CD}" name="age" dataDxfId="208">
      <calculatedColumnFormula>_xlfn.XLOOKUP(A2,tbl_employee[employee_id],tbl_employee[age])</calculatedColumnFormula>
    </tableColumn>
    <tableColumn id="11" xr3:uid="{5E2F6E35-B4B7-4C9F-967A-9BF7F9D5C267}" name="age_group" dataDxfId="207">
      <calculatedColumnFormula array="1">_xlfn.IFS(tbl_employee_summary[[#This Row],[age]]&lt;30,"Early Career",tbl_employee_summary[[#This Row],[age]]&lt;40,"Mid Career",tbl_employee_summary[[#This Row],[age]] &lt;50,"Senior",tbl_employee_summary[[#This Row],[age]]&gt;=50, "Experienced")</calculatedColumnFormula>
    </tableColumn>
    <tableColumn id="5" xr3:uid="{49F16DF3-56FD-433C-9235-113A2F6FACAF}" name="avg_performance_pct" dataDxfId="206">
      <calculatedColumnFormula>AVERAGEIF(tbl_performance[employee_id],A2,tbl_performance[performance_pct])</calculatedColumnFormula>
    </tableColumn>
    <tableColumn id="6" xr3:uid="{DEA1D63B-36E4-4470-98FB-BBDDE5F867A2}" name="total_months" dataDxfId="205">
      <calculatedColumnFormula>COUNTIF(tbl_performance[employee_id],A2)</calculatedColumnFormula>
    </tableColumn>
    <tableColumn id="7" xr3:uid="{BF6AE95E-9A2D-46B9-A09D-2AD5B0069BA6}" name="performance_status" dataDxfId="204">
      <calculatedColumnFormula array="1">_xlfn.IFS(H2 &gt;= 1.1,"Excellent", H2&gt;=1,"Good",H2&gt;=0.85,"Average",TRUE,"Poor")</calculatedColumnFormula>
    </tableColumn>
    <tableColumn id="8" xr3:uid="{B743273C-F1C5-4D3F-959E-A4982AAE46D5}" name="employee_rank" dataDxfId="203">
      <calculatedColumnFormula>_xlfn.RANK.EQ(tbl_employee_summary[[#This Row],[avg_performance_pct]], tbl_employee_summary[avg_performance_pct],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4B81-1785-4D40-8BA5-478BF4F17496}">
  <dimension ref="B1:T25"/>
  <sheetViews>
    <sheetView showGridLines="0" tabSelected="1" zoomScale="90" zoomScaleNormal="90" workbookViewId="0">
      <selection activeCell="S5" sqref="S5"/>
    </sheetView>
  </sheetViews>
  <sheetFormatPr defaultRowHeight="14.4" x14ac:dyDescent="0.3"/>
  <cols>
    <col min="1" max="1" width="3.33203125" customWidth="1"/>
    <col min="16" max="16" width="8.88671875" customWidth="1"/>
    <col min="17" max="17" width="3.33203125" customWidth="1"/>
    <col min="18" max="18" width="11.21875" customWidth="1"/>
  </cols>
  <sheetData>
    <row r="1" spans="2:20" ht="30" customHeight="1" x14ac:dyDescent="0.3">
      <c r="B1" s="29" t="s">
        <v>359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1"/>
    </row>
    <row r="2" spans="2:20" ht="14.4" customHeight="1" x14ac:dyDescent="0.3">
      <c r="B2" s="23"/>
      <c r="C2" s="30">
        <f>ROWS(tbl_employee[])</f>
        <v>100</v>
      </c>
      <c r="D2" s="30"/>
      <c r="E2" s="32"/>
      <c r="F2" s="34">
        <f>AVERAGE(tbl_employee_summary[avg_performance_pct])</f>
        <v>0.95670085093259027</v>
      </c>
      <c r="G2" s="35"/>
      <c r="H2" s="38"/>
      <c r="I2" s="39" t="str">
        <f>INDEX(Pivot_Tables!A4:A10,MATCH(MAX(Pivot_Tables!B4:B10),Pivot_Tables!B4:B10,0))</f>
        <v>Engineering</v>
      </c>
      <c r="J2" s="39"/>
      <c r="K2" s="23"/>
      <c r="L2" s="24">
        <f>COUNTIF(tbl_employee_summary[performance_status],"Excellent")</f>
        <v>8</v>
      </c>
      <c r="M2" s="24"/>
      <c r="N2" s="23"/>
      <c r="O2" s="22">
        <f>COUNTIF(tbl_employee_summary[performance_status],"Poor")</f>
        <v>19</v>
      </c>
      <c r="P2" s="18"/>
      <c r="Q2" s="10"/>
    </row>
    <row r="3" spans="2:20" ht="15" customHeight="1" x14ac:dyDescent="0.3">
      <c r="B3" s="27"/>
      <c r="C3" s="31"/>
      <c r="D3" s="31"/>
      <c r="E3" s="33"/>
      <c r="F3" s="36"/>
      <c r="G3" s="37"/>
      <c r="H3" s="40"/>
      <c r="I3" s="26" t="str">
        <f xml:space="preserve"> " (" &amp;
TEXT(MAX(Pivot_Tables!B4:B10),"0.00%")
&amp; ")"</f>
        <v xml:space="preserve"> (105.04%)</v>
      </c>
      <c r="J3" s="26"/>
      <c r="K3" s="27"/>
      <c r="L3" s="28"/>
      <c r="M3" s="28"/>
      <c r="N3" s="27"/>
      <c r="O3" s="22"/>
      <c r="P3" s="18"/>
      <c r="Q3" s="10"/>
    </row>
    <row r="4" spans="2:20" ht="17.399999999999999" x14ac:dyDescent="0.55000000000000004">
      <c r="B4" s="41" t="s">
        <v>360</v>
      </c>
      <c r="C4" s="41"/>
      <c r="D4" s="41"/>
      <c r="E4" s="41" t="s">
        <v>332</v>
      </c>
      <c r="F4" s="41"/>
      <c r="G4" s="41"/>
      <c r="H4" s="41" t="s">
        <v>361</v>
      </c>
      <c r="I4" s="41"/>
      <c r="J4" s="41"/>
      <c r="K4" s="41" t="s">
        <v>362</v>
      </c>
      <c r="L4" s="41"/>
      <c r="M4" s="41"/>
      <c r="N4" s="41" t="s">
        <v>363</v>
      </c>
      <c r="O4" s="41"/>
      <c r="P4" s="41"/>
      <c r="Q4" s="10"/>
    </row>
    <row r="5" spans="2:20" x14ac:dyDescent="0.3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/>
      <c r="Q5" s="10"/>
    </row>
    <row r="6" spans="2:20" x14ac:dyDescent="0.3">
      <c r="B6" s="1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3"/>
      <c r="Q6" s="10"/>
    </row>
    <row r="7" spans="2:20" x14ac:dyDescent="0.3">
      <c r="B7" s="1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3"/>
      <c r="Q7" s="10"/>
    </row>
    <row r="8" spans="2:20" x14ac:dyDescent="0.3">
      <c r="B8" s="1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3"/>
      <c r="Q8" s="10"/>
    </row>
    <row r="9" spans="2:20" x14ac:dyDescent="0.3">
      <c r="B9" s="1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3"/>
      <c r="Q9" s="10"/>
    </row>
    <row r="10" spans="2:20" x14ac:dyDescent="0.3">
      <c r="B10" s="1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3"/>
      <c r="Q10" s="10"/>
    </row>
    <row r="11" spans="2:20" x14ac:dyDescent="0.3">
      <c r="B11" s="1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3"/>
      <c r="Q11" s="10"/>
    </row>
    <row r="12" spans="2:20" x14ac:dyDescent="0.3">
      <c r="B12" s="12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3"/>
      <c r="Q12" s="10"/>
    </row>
    <row r="13" spans="2:20" x14ac:dyDescent="0.3">
      <c r="B13" s="12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3"/>
      <c r="Q13" s="10"/>
    </row>
    <row r="14" spans="2:20" x14ac:dyDescent="0.3">
      <c r="B14" s="12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3"/>
      <c r="Q14" s="10"/>
    </row>
    <row r="15" spans="2:20" x14ac:dyDescent="0.3">
      <c r="B15" s="12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3"/>
      <c r="Q15" s="10"/>
    </row>
    <row r="16" spans="2:20" x14ac:dyDescent="0.3">
      <c r="B16" s="12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3"/>
      <c r="Q16" s="10"/>
      <c r="T16" s="17"/>
    </row>
    <row r="17" spans="2:17" x14ac:dyDescent="0.3">
      <c r="B17" s="1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3"/>
      <c r="Q17" s="10"/>
    </row>
    <row r="18" spans="2:17" x14ac:dyDescent="0.3">
      <c r="B18" s="12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3"/>
      <c r="Q18" s="10"/>
    </row>
    <row r="19" spans="2:17" x14ac:dyDescent="0.3">
      <c r="B19" s="12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3"/>
      <c r="Q19" s="10"/>
    </row>
    <row r="20" spans="2:17" x14ac:dyDescent="0.3">
      <c r="B20" s="1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3"/>
      <c r="Q20" s="10"/>
    </row>
    <row r="21" spans="2:17" x14ac:dyDescent="0.3">
      <c r="B21" s="12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3"/>
      <c r="Q21" s="10"/>
    </row>
    <row r="22" spans="2:17" x14ac:dyDescent="0.3">
      <c r="B22" s="12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3"/>
      <c r="Q22" s="10"/>
    </row>
    <row r="23" spans="2:17" x14ac:dyDescent="0.3"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6"/>
      <c r="Q23" s="10"/>
    </row>
    <row r="24" spans="2:17" x14ac:dyDescent="0.3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2:17" x14ac:dyDescent="0.3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</sheetData>
  <mergeCells count="17">
    <mergeCell ref="H2:H3"/>
    <mergeCell ref="L2:M3"/>
    <mergeCell ref="K2:K3"/>
    <mergeCell ref="O2:P3"/>
    <mergeCell ref="N2:N3"/>
    <mergeCell ref="B4:D4"/>
    <mergeCell ref="E4:G4"/>
    <mergeCell ref="H4:J4"/>
    <mergeCell ref="K4:M4"/>
    <mergeCell ref="N4:P4"/>
    <mergeCell ref="C2:D3"/>
    <mergeCell ref="B2:B3"/>
    <mergeCell ref="F2:G3"/>
    <mergeCell ref="E2:E3"/>
    <mergeCell ref="B1:P1"/>
    <mergeCell ref="I2:J2"/>
    <mergeCell ref="I3:J3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ADF9-1341-418E-B8F4-B06F8F506B6C}">
  <dimension ref="A2:K34"/>
  <sheetViews>
    <sheetView workbookViewId="0">
      <selection activeCell="C7" sqref="C7"/>
    </sheetView>
  </sheetViews>
  <sheetFormatPr defaultRowHeight="19.8" x14ac:dyDescent="0.65"/>
  <cols>
    <col min="1" max="1" width="16.33203125" style="45" bestFit="1" customWidth="1"/>
    <col min="2" max="2" width="29.44140625" style="45" customWidth="1"/>
    <col min="3" max="3" width="16" style="45" bestFit="1" customWidth="1"/>
    <col min="4" max="4" width="8.88671875" style="45"/>
    <col min="5" max="5" width="30.88671875" style="45" customWidth="1"/>
    <col min="6" max="6" width="19.5546875" style="45" customWidth="1"/>
    <col min="7" max="7" width="16" style="45" bestFit="1" customWidth="1"/>
    <col min="8" max="8" width="10" style="45" customWidth="1"/>
    <col min="9" max="9" width="22.5546875" style="45" bestFit="1" customWidth="1"/>
    <col min="10" max="10" width="32.88671875" style="45" bestFit="1" customWidth="1"/>
    <col min="11" max="11" width="21.44140625" style="45" bestFit="1" customWidth="1"/>
    <col min="12" max="16384" width="8.88671875" style="45"/>
  </cols>
  <sheetData>
    <row r="2" spans="1:11" ht="22.8" x14ac:dyDescent="0.75">
      <c r="A2" s="52" t="s">
        <v>343</v>
      </c>
      <c r="B2" s="52"/>
      <c r="C2" s="52"/>
      <c r="E2" s="52" t="s">
        <v>344</v>
      </c>
      <c r="F2" s="52"/>
      <c r="I2" s="52" t="s">
        <v>346</v>
      </c>
      <c r="J2" s="53"/>
      <c r="K2" s="53"/>
    </row>
    <row r="3" spans="1:11" x14ac:dyDescent="0.65">
      <c r="A3" s="54" t="s">
        <v>331</v>
      </c>
      <c r="B3" s="45" t="s">
        <v>332</v>
      </c>
      <c r="E3" s="54" t="s">
        <v>338</v>
      </c>
      <c r="F3" s="45" t="s">
        <v>333</v>
      </c>
      <c r="I3" s="54" t="s">
        <v>349</v>
      </c>
      <c r="J3" s="45" t="s">
        <v>330</v>
      </c>
      <c r="K3" s="45" t="s">
        <v>318</v>
      </c>
    </row>
    <row r="4" spans="1:11" x14ac:dyDescent="0.65">
      <c r="A4" s="55" t="s">
        <v>33</v>
      </c>
      <c r="B4" s="56">
        <v>0.84090205620663572</v>
      </c>
      <c r="E4" s="55" t="s">
        <v>334</v>
      </c>
      <c r="F4" s="57">
        <v>40</v>
      </c>
      <c r="I4" s="55" t="s">
        <v>28</v>
      </c>
      <c r="J4" s="56">
        <v>1.0226981283082541</v>
      </c>
      <c r="K4" s="57">
        <v>5</v>
      </c>
    </row>
    <row r="5" spans="1:11" x14ac:dyDescent="0.65">
      <c r="A5" s="55" t="s">
        <v>22</v>
      </c>
      <c r="B5" s="56">
        <v>0.88575374286287278</v>
      </c>
      <c r="E5" s="55" t="s">
        <v>335</v>
      </c>
      <c r="F5" s="57">
        <v>8</v>
      </c>
      <c r="I5" s="55" t="s">
        <v>167</v>
      </c>
      <c r="J5" s="56">
        <v>1.1200548625885183</v>
      </c>
      <c r="K5" s="57">
        <v>1</v>
      </c>
    </row>
    <row r="6" spans="1:11" x14ac:dyDescent="0.65">
      <c r="A6" s="55" t="s">
        <v>18</v>
      </c>
      <c r="B6" s="56">
        <v>0.91640759321078435</v>
      </c>
      <c r="E6" s="55" t="s">
        <v>336</v>
      </c>
      <c r="F6" s="57">
        <v>33</v>
      </c>
      <c r="I6" s="55" t="s">
        <v>174</v>
      </c>
      <c r="J6" s="56">
        <v>1.0699169556074124</v>
      </c>
      <c r="K6" s="57">
        <v>1</v>
      </c>
    </row>
    <row r="7" spans="1:11" x14ac:dyDescent="0.65">
      <c r="A7" s="55" t="s">
        <v>10</v>
      </c>
      <c r="B7" s="56">
        <v>0.99905525147656116</v>
      </c>
      <c r="E7" s="55" t="s">
        <v>337</v>
      </c>
      <c r="F7" s="57">
        <v>19</v>
      </c>
      <c r="I7" s="55" t="s">
        <v>102</v>
      </c>
      <c r="J7" s="56">
        <v>1.1030567485532137</v>
      </c>
      <c r="K7" s="57">
        <v>2</v>
      </c>
    </row>
    <row r="8" spans="1:11" x14ac:dyDescent="0.65">
      <c r="A8" s="55" t="s">
        <v>61</v>
      </c>
      <c r="B8" s="56">
        <v>1.014271472834148</v>
      </c>
      <c r="E8" s="55" t="s">
        <v>305</v>
      </c>
      <c r="F8" s="57">
        <v>100</v>
      </c>
      <c r="I8" s="55" t="s">
        <v>88</v>
      </c>
      <c r="J8" s="56">
        <v>1.1079826622769624</v>
      </c>
      <c r="K8" s="57">
        <v>2</v>
      </c>
    </row>
    <row r="9" spans="1:11" x14ac:dyDescent="0.65">
      <c r="A9" s="55" t="s">
        <v>29</v>
      </c>
      <c r="B9" s="56">
        <v>1.043520927368055</v>
      </c>
      <c r="I9" s="55" t="s">
        <v>66</v>
      </c>
      <c r="J9" s="56">
        <v>1.0352511025284519</v>
      </c>
      <c r="K9" s="57">
        <v>3</v>
      </c>
    </row>
    <row r="10" spans="1:11" x14ac:dyDescent="0.65">
      <c r="A10" s="55" t="s">
        <v>37</v>
      </c>
      <c r="B10" s="56">
        <v>1.0503909188565621</v>
      </c>
      <c r="I10" s="55" t="s">
        <v>80</v>
      </c>
      <c r="J10" s="56">
        <v>0.99223137973137976</v>
      </c>
      <c r="K10" s="57">
        <v>2</v>
      </c>
    </row>
    <row r="11" spans="1:11" x14ac:dyDescent="0.65">
      <c r="A11" s="55" t="s">
        <v>305</v>
      </c>
      <c r="B11" s="56">
        <v>0.95670085093259061</v>
      </c>
      <c r="I11" s="55" t="s">
        <v>60</v>
      </c>
      <c r="J11" s="56">
        <v>1.0221470069509284</v>
      </c>
      <c r="K11" s="57">
        <v>3</v>
      </c>
    </row>
    <row r="12" spans="1:11" x14ac:dyDescent="0.65">
      <c r="I12" s="55" t="s">
        <v>205</v>
      </c>
      <c r="J12" s="56">
        <v>1.0347250566893424</v>
      </c>
      <c r="K12" s="57">
        <v>1</v>
      </c>
    </row>
    <row r="13" spans="1:11" ht="22.8" x14ac:dyDescent="0.75">
      <c r="A13" s="52" t="s">
        <v>351</v>
      </c>
      <c r="B13" s="52"/>
      <c r="C13" s="52"/>
      <c r="E13" s="52" t="s">
        <v>356</v>
      </c>
      <c r="F13" s="52"/>
      <c r="G13" s="52"/>
      <c r="I13" s="55" t="s">
        <v>14</v>
      </c>
      <c r="J13" s="56">
        <v>1.0070401138793592</v>
      </c>
      <c r="K13" s="57">
        <v>7</v>
      </c>
    </row>
    <row r="14" spans="1:11" x14ac:dyDescent="0.65">
      <c r="A14" s="54" t="s">
        <v>348</v>
      </c>
      <c r="B14" s="45" t="s">
        <v>332</v>
      </c>
      <c r="C14" s="45" t="s">
        <v>333</v>
      </c>
      <c r="E14" s="54" t="s">
        <v>357</v>
      </c>
      <c r="F14" s="45" t="s">
        <v>358</v>
      </c>
      <c r="G14" s="45" t="s">
        <v>333</v>
      </c>
      <c r="I14" s="55" t="s">
        <v>9</v>
      </c>
      <c r="J14" s="56">
        <v>0.95483183949367567</v>
      </c>
      <c r="K14" s="57">
        <v>4</v>
      </c>
    </row>
    <row r="15" spans="1:11" x14ac:dyDescent="0.65">
      <c r="A15" s="55" t="s">
        <v>25</v>
      </c>
      <c r="B15" s="56">
        <v>0.9492735189762237</v>
      </c>
      <c r="C15" s="57">
        <v>43</v>
      </c>
      <c r="E15" s="55" t="s">
        <v>353</v>
      </c>
      <c r="F15" s="56">
        <v>0.95875427378725619</v>
      </c>
      <c r="G15" s="57">
        <v>52</v>
      </c>
      <c r="H15" s="57"/>
      <c r="I15" s="55" t="s">
        <v>83</v>
      </c>
      <c r="J15" s="56">
        <v>0.87388400142425005</v>
      </c>
      <c r="K15" s="57">
        <v>5</v>
      </c>
    </row>
    <row r="16" spans="1:11" x14ac:dyDescent="0.65">
      <c r="A16" s="55" t="s">
        <v>11</v>
      </c>
      <c r="B16" s="56">
        <v>0.96230392591721792</v>
      </c>
      <c r="C16" s="57">
        <v>57</v>
      </c>
      <c r="E16" s="55" t="s">
        <v>354</v>
      </c>
      <c r="F16" s="56">
        <v>0.94793511123066576</v>
      </c>
      <c r="G16" s="57">
        <v>42</v>
      </c>
      <c r="H16" s="57"/>
      <c r="I16" s="55" t="s">
        <v>57</v>
      </c>
      <c r="J16" s="56">
        <v>0.91920157824083171</v>
      </c>
      <c r="K16" s="57">
        <v>5</v>
      </c>
    </row>
    <row r="17" spans="1:11" x14ac:dyDescent="0.65">
      <c r="A17" s="55" t="s">
        <v>305</v>
      </c>
      <c r="B17" s="56">
        <v>0.95670085093259027</v>
      </c>
      <c r="C17" s="57">
        <v>100</v>
      </c>
      <c r="E17" s="55" t="s">
        <v>355</v>
      </c>
      <c r="F17" s="56">
        <v>1.0002646974389606</v>
      </c>
      <c r="G17" s="57">
        <v>6</v>
      </c>
      <c r="H17" s="57"/>
      <c r="I17" s="55" t="s">
        <v>21</v>
      </c>
      <c r="J17" s="56">
        <v>0.83180850801453332</v>
      </c>
      <c r="K17" s="57">
        <v>2</v>
      </c>
    </row>
    <row r="18" spans="1:11" x14ac:dyDescent="0.65">
      <c r="E18" s="55" t="s">
        <v>305</v>
      </c>
      <c r="F18" s="56">
        <v>0.95670085093259027</v>
      </c>
      <c r="G18" s="57">
        <v>100</v>
      </c>
      <c r="H18" s="57"/>
      <c r="I18" s="55" t="s">
        <v>97</v>
      </c>
      <c r="J18" s="56">
        <v>1.0403308702534149</v>
      </c>
      <c r="K18" s="57">
        <v>2</v>
      </c>
    </row>
    <row r="19" spans="1:11" x14ac:dyDescent="0.65">
      <c r="I19" s="55" t="s">
        <v>17</v>
      </c>
      <c r="J19" s="56">
        <v>0.89422058560020967</v>
      </c>
      <c r="K19" s="57">
        <v>14</v>
      </c>
    </row>
    <row r="20" spans="1:11" ht="22.8" x14ac:dyDescent="0.75">
      <c r="A20" s="52" t="s">
        <v>350</v>
      </c>
      <c r="B20" s="52"/>
      <c r="I20" s="55" t="s">
        <v>43</v>
      </c>
      <c r="J20" s="56">
        <v>0.97675737440017585</v>
      </c>
      <c r="K20" s="57">
        <v>5</v>
      </c>
    </row>
    <row r="21" spans="1:11" x14ac:dyDescent="0.65">
      <c r="A21" s="54" t="s">
        <v>304</v>
      </c>
      <c r="B21" s="45" t="s">
        <v>345</v>
      </c>
      <c r="I21" s="55" t="s">
        <v>111</v>
      </c>
      <c r="J21" s="56">
        <v>0.91788579331096687</v>
      </c>
      <c r="K21" s="57">
        <v>6</v>
      </c>
    </row>
    <row r="22" spans="1:11" x14ac:dyDescent="0.65">
      <c r="A22" s="55" t="s">
        <v>306</v>
      </c>
      <c r="B22" s="56">
        <v>0.95376275207983918</v>
      </c>
      <c r="I22" s="55" t="s">
        <v>36</v>
      </c>
      <c r="J22" s="56">
        <v>1.0298502386820694</v>
      </c>
      <c r="K22" s="57">
        <v>6</v>
      </c>
    </row>
    <row r="23" spans="1:11" x14ac:dyDescent="0.65">
      <c r="A23" s="55" t="s">
        <v>307</v>
      </c>
      <c r="B23" s="56">
        <v>0.95371226235864381</v>
      </c>
      <c r="I23" s="55" t="s">
        <v>32</v>
      </c>
      <c r="J23" s="56">
        <v>0.82937120429345901</v>
      </c>
      <c r="K23" s="57">
        <v>5</v>
      </c>
    </row>
    <row r="24" spans="1:11" x14ac:dyDescent="0.65">
      <c r="A24" s="55" t="s">
        <v>308</v>
      </c>
      <c r="B24" s="56">
        <v>0.95592676567711299</v>
      </c>
      <c r="I24" s="55" t="s">
        <v>50</v>
      </c>
      <c r="J24" s="56">
        <v>1.052447194646462</v>
      </c>
      <c r="K24" s="57">
        <v>9</v>
      </c>
    </row>
    <row r="25" spans="1:11" x14ac:dyDescent="0.65">
      <c r="A25" s="55" t="s">
        <v>309</v>
      </c>
      <c r="B25" s="56">
        <v>0.95916847989523024</v>
      </c>
      <c r="I25" s="55" t="s">
        <v>71</v>
      </c>
      <c r="J25" s="56">
        <v>0.83056599505840867</v>
      </c>
      <c r="K25" s="57">
        <v>9</v>
      </c>
    </row>
    <row r="26" spans="1:11" x14ac:dyDescent="0.65">
      <c r="A26" s="55" t="s">
        <v>310</v>
      </c>
      <c r="B26" s="56">
        <v>0.96657412241329355</v>
      </c>
      <c r="I26" s="55" t="s">
        <v>40</v>
      </c>
      <c r="J26" s="56">
        <v>0.9915808661065636</v>
      </c>
      <c r="K26" s="57">
        <v>1</v>
      </c>
    </row>
    <row r="27" spans="1:11" x14ac:dyDescent="0.65">
      <c r="A27" s="55" t="s">
        <v>311</v>
      </c>
      <c r="B27" s="56">
        <v>0.95443151289038164</v>
      </c>
      <c r="I27" s="55" t="s">
        <v>305</v>
      </c>
      <c r="J27" s="56">
        <v>0.95670085093259005</v>
      </c>
      <c r="K27" s="57">
        <v>100</v>
      </c>
    </row>
    <row r="28" spans="1:11" x14ac:dyDescent="0.65">
      <c r="A28" s="55" t="s">
        <v>312</v>
      </c>
      <c r="B28" s="56">
        <v>0.95203493911412318</v>
      </c>
    </row>
    <row r="29" spans="1:11" x14ac:dyDescent="0.65">
      <c r="A29" s="55" t="s">
        <v>313</v>
      </c>
      <c r="B29" s="56">
        <v>0.91094097080322456</v>
      </c>
    </row>
    <row r="30" spans="1:11" x14ac:dyDescent="0.65">
      <c r="A30" s="55" t="s">
        <v>314</v>
      </c>
      <c r="B30" s="56">
        <v>0.94846779268400516</v>
      </c>
    </row>
    <row r="31" spans="1:11" x14ac:dyDescent="0.65">
      <c r="A31" s="55" t="s">
        <v>315</v>
      </c>
      <c r="B31" s="56">
        <v>0.96038361110444126</v>
      </c>
    </row>
    <row r="32" spans="1:11" x14ac:dyDescent="0.65">
      <c r="A32" s="55" t="s">
        <v>316</v>
      </c>
      <c r="B32" s="56">
        <v>1.0088049048027725</v>
      </c>
    </row>
    <row r="33" spans="1:2" x14ac:dyDescent="0.65">
      <c r="A33" s="55" t="s">
        <v>317</v>
      </c>
      <c r="B33" s="56">
        <v>0.97030696452896659</v>
      </c>
    </row>
    <row r="34" spans="1:2" x14ac:dyDescent="0.65">
      <c r="A34" s="55" t="s">
        <v>305</v>
      </c>
      <c r="B34" s="56">
        <v>0.95821591162517894</v>
      </c>
    </row>
  </sheetData>
  <mergeCells count="6">
    <mergeCell ref="A2:C2"/>
    <mergeCell ref="E2:F2"/>
    <mergeCell ref="I2:K2"/>
    <mergeCell ref="A20:B20"/>
    <mergeCell ref="A13:C13"/>
    <mergeCell ref="E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E6B7-B9A8-4217-861A-892FDD58C608}">
  <dimension ref="A1:E35"/>
  <sheetViews>
    <sheetView workbookViewId="0">
      <selection activeCell="E36" sqref="E36"/>
    </sheetView>
  </sheetViews>
  <sheetFormatPr defaultRowHeight="19.8" x14ac:dyDescent="0.65"/>
  <cols>
    <col min="1" max="2" width="26.33203125" style="60" customWidth="1"/>
    <col min="3" max="3" width="34.33203125" style="60" customWidth="1"/>
    <col min="4" max="4" width="8.88671875" style="45"/>
    <col min="5" max="5" width="22.77734375" style="45" customWidth="1"/>
    <col min="6" max="16384" width="8.88671875" style="45"/>
  </cols>
  <sheetData>
    <row r="1" spans="1:3" ht="22.8" x14ac:dyDescent="0.65">
      <c r="A1" s="66" t="s">
        <v>256</v>
      </c>
      <c r="B1" s="67"/>
      <c r="C1" s="67"/>
    </row>
    <row r="2" spans="1:3" x14ac:dyDescent="0.65">
      <c r="A2" s="73" t="s">
        <v>240</v>
      </c>
      <c r="B2" s="73" t="s">
        <v>241</v>
      </c>
      <c r="C2" s="73" t="s">
        <v>242</v>
      </c>
    </row>
    <row r="3" spans="1:3" x14ac:dyDescent="0.65">
      <c r="A3" s="46" t="s">
        <v>243</v>
      </c>
      <c r="B3" s="46" t="s">
        <v>0</v>
      </c>
      <c r="C3" s="46" t="s">
        <v>245</v>
      </c>
    </row>
    <row r="4" spans="1:3" x14ac:dyDescent="0.65">
      <c r="A4" s="46" t="s">
        <v>243</v>
      </c>
      <c r="B4" s="46" t="s">
        <v>1</v>
      </c>
      <c r="C4" s="46" t="s">
        <v>246</v>
      </c>
    </row>
    <row r="5" spans="1:3" x14ac:dyDescent="0.65">
      <c r="A5" s="46" t="s">
        <v>243</v>
      </c>
      <c r="B5" s="46" t="s">
        <v>2</v>
      </c>
      <c r="C5" s="46" t="s">
        <v>247</v>
      </c>
    </row>
    <row r="6" spans="1:3" x14ac:dyDescent="0.65">
      <c r="A6" s="46" t="s">
        <v>243</v>
      </c>
      <c r="B6" s="46" t="s">
        <v>3</v>
      </c>
      <c r="C6" s="46" t="s">
        <v>248</v>
      </c>
    </row>
    <row r="7" spans="1:3" x14ac:dyDescent="0.65">
      <c r="A7" s="46" t="s">
        <v>243</v>
      </c>
      <c r="B7" s="46" t="s">
        <v>4</v>
      </c>
      <c r="C7" s="46" t="s">
        <v>249</v>
      </c>
    </row>
    <row r="8" spans="1:3" x14ac:dyDescent="0.65">
      <c r="A8" s="46" t="s">
        <v>243</v>
      </c>
      <c r="B8" s="46" t="s">
        <v>5</v>
      </c>
      <c r="C8" s="46" t="s">
        <v>250</v>
      </c>
    </row>
    <row r="9" spans="1:3" x14ac:dyDescent="0.65">
      <c r="A9" s="46" t="s">
        <v>243</v>
      </c>
      <c r="B9" s="46" t="s">
        <v>6</v>
      </c>
      <c r="C9" s="46" t="s">
        <v>251</v>
      </c>
    </row>
    <row r="10" spans="1:3" x14ac:dyDescent="0.65">
      <c r="A10" s="46" t="s">
        <v>244</v>
      </c>
      <c r="B10" s="46" t="s">
        <v>0</v>
      </c>
      <c r="C10" s="46" t="s">
        <v>252</v>
      </c>
    </row>
    <row r="11" spans="1:3" x14ac:dyDescent="0.65">
      <c r="A11" s="46" t="s">
        <v>244</v>
      </c>
      <c r="B11" s="46" t="s">
        <v>237</v>
      </c>
      <c r="C11" s="46" t="s">
        <v>253</v>
      </c>
    </row>
    <row r="12" spans="1:3" x14ac:dyDescent="0.65">
      <c r="A12" s="46" t="s">
        <v>244</v>
      </c>
      <c r="B12" s="46" t="s">
        <v>238</v>
      </c>
      <c r="C12" s="46" t="s">
        <v>254</v>
      </c>
    </row>
    <row r="13" spans="1:3" x14ac:dyDescent="0.65">
      <c r="A13" s="46" t="s">
        <v>244</v>
      </c>
      <c r="B13" s="46" t="s">
        <v>239</v>
      </c>
      <c r="C13" s="46" t="s">
        <v>255</v>
      </c>
    </row>
    <row r="15" spans="1:3" ht="22.8" x14ac:dyDescent="0.65">
      <c r="A15" s="74" t="s">
        <v>257</v>
      </c>
      <c r="B15" s="75"/>
      <c r="C15" s="75"/>
    </row>
    <row r="16" spans="1:3" x14ac:dyDescent="0.65">
      <c r="A16" s="70" t="s">
        <v>258</v>
      </c>
      <c r="B16" s="70"/>
      <c r="C16" s="70"/>
    </row>
    <row r="17" spans="1:5" x14ac:dyDescent="0.65">
      <c r="A17" s="70" t="s">
        <v>259</v>
      </c>
      <c r="B17" s="70"/>
      <c r="C17" s="70"/>
    </row>
    <row r="18" spans="1:5" x14ac:dyDescent="0.65">
      <c r="A18" s="70" t="s">
        <v>260</v>
      </c>
      <c r="B18" s="70"/>
      <c r="C18" s="70"/>
    </row>
    <row r="19" spans="1:5" x14ac:dyDescent="0.65">
      <c r="A19" s="70" t="s">
        <v>261</v>
      </c>
      <c r="B19" s="70"/>
      <c r="C19" s="70"/>
    </row>
    <row r="20" spans="1:5" x14ac:dyDescent="0.65">
      <c r="A20" s="70" t="s">
        <v>262</v>
      </c>
      <c r="B20" s="70"/>
      <c r="C20" s="70"/>
    </row>
    <row r="21" spans="1:5" x14ac:dyDescent="0.65">
      <c r="A21" s="70" t="s">
        <v>263</v>
      </c>
      <c r="B21" s="70"/>
      <c r="C21" s="70"/>
    </row>
    <row r="22" spans="1:5" x14ac:dyDescent="0.65">
      <c r="A22" s="70" t="s">
        <v>264</v>
      </c>
      <c r="B22" s="70"/>
      <c r="C22" s="70"/>
    </row>
    <row r="23" spans="1:5" x14ac:dyDescent="0.65">
      <c r="A23" s="70" t="s">
        <v>265</v>
      </c>
      <c r="B23" s="70"/>
      <c r="C23" s="70"/>
    </row>
    <row r="24" spans="1:5" x14ac:dyDescent="0.65">
      <c r="A24" s="70" t="s">
        <v>275</v>
      </c>
      <c r="B24" s="70"/>
      <c r="C24" s="70"/>
    </row>
    <row r="25" spans="1:5" x14ac:dyDescent="0.65">
      <c r="A25" s="70" t="s">
        <v>266</v>
      </c>
      <c r="B25" s="70"/>
      <c r="C25" s="70"/>
    </row>
    <row r="27" spans="1:5" ht="22.8" x14ac:dyDescent="0.65">
      <c r="A27" s="68" t="s">
        <v>267</v>
      </c>
      <c r="B27" s="69"/>
      <c r="C27" s="69"/>
      <c r="E27" s="71" t="s">
        <v>272</v>
      </c>
    </row>
    <row r="28" spans="1:5" x14ac:dyDescent="0.65">
      <c r="A28" s="76" t="s">
        <v>269</v>
      </c>
      <c r="B28" s="76"/>
      <c r="C28" s="77" t="s">
        <v>268</v>
      </c>
      <c r="E28" s="49" t="str" cm="1">
        <f t="array" ref="E28:E34">_xlfn.UNIQUE(tbl_employee[department])</f>
        <v>Marketing</v>
      </c>
    </row>
    <row r="29" spans="1:5" x14ac:dyDescent="0.65">
      <c r="A29" s="72" t="s">
        <v>270</v>
      </c>
      <c r="B29" s="72"/>
      <c r="C29" s="64">
        <f>ROWS(tbl_employee[])</f>
        <v>100</v>
      </c>
      <c r="E29" s="49" t="str">
        <v>Sales</v>
      </c>
    </row>
    <row r="30" spans="1:5" x14ac:dyDescent="0.65">
      <c r="A30" s="72" t="s">
        <v>271</v>
      </c>
      <c r="B30" s="72"/>
      <c r="C30" s="64">
        <f>ROWS(tbl_performance[])</f>
        <v>1129</v>
      </c>
      <c r="E30" s="49" t="str">
        <v>Operations</v>
      </c>
    </row>
    <row r="31" spans="1:5" x14ac:dyDescent="0.65">
      <c r="A31" s="72" t="s">
        <v>272</v>
      </c>
      <c r="B31" s="72"/>
      <c r="C31" s="64">
        <f>COUNTA(_xlfn.UNIQUE(tbl_employee[department]))</f>
        <v>7</v>
      </c>
      <c r="E31" s="49" t="str">
        <v>Finance</v>
      </c>
    </row>
    <row r="32" spans="1:5" x14ac:dyDescent="0.65">
      <c r="A32" s="72" t="s">
        <v>273</v>
      </c>
      <c r="B32" s="72"/>
      <c r="C32" s="64">
        <f>COUNTA(_xlfn.UNIQUE(tbl_employee[role]))</f>
        <v>23</v>
      </c>
      <c r="E32" s="49" t="str">
        <v>Customer Support</v>
      </c>
    </row>
    <row r="33" spans="1:5" x14ac:dyDescent="0.65">
      <c r="A33" s="72" t="s">
        <v>274</v>
      </c>
      <c r="B33" s="72"/>
      <c r="C33" s="64">
        <f>COUNTA(_xlfn.UNIQUE(tbl_performance[month]))</f>
        <v>12</v>
      </c>
      <c r="E33" s="49" t="str">
        <v>Engineering</v>
      </c>
    </row>
    <row r="34" spans="1:5" x14ac:dyDescent="0.65">
      <c r="A34" s="72" t="s">
        <v>277</v>
      </c>
      <c r="B34" s="72"/>
      <c r="C34" s="65">
        <f>MIN(tbl_performance[month])</f>
        <v>45658</v>
      </c>
      <c r="E34" s="49" t="str">
        <v>HR</v>
      </c>
    </row>
    <row r="35" spans="1:5" x14ac:dyDescent="0.65">
      <c r="A35" s="72" t="s">
        <v>278</v>
      </c>
      <c r="B35" s="72"/>
      <c r="C35" s="65">
        <f>MAX(tbl_performance[month])</f>
        <v>45992</v>
      </c>
    </row>
  </sheetData>
  <mergeCells count="21">
    <mergeCell ref="A34:B34"/>
    <mergeCell ref="A35:B35"/>
    <mergeCell ref="A28:B28"/>
    <mergeCell ref="A29:B29"/>
    <mergeCell ref="A30:B30"/>
    <mergeCell ref="A31:B31"/>
    <mergeCell ref="A32:B32"/>
    <mergeCell ref="A33:B33"/>
    <mergeCell ref="A20:C20"/>
    <mergeCell ref="A21:C21"/>
    <mergeCell ref="A22:C22"/>
    <mergeCell ref="A23:C23"/>
    <mergeCell ref="A25:C25"/>
    <mergeCell ref="A27:C27"/>
    <mergeCell ref="A24:C24"/>
    <mergeCell ref="A1:C1"/>
    <mergeCell ref="A15:C15"/>
    <mergeCell ref="A16:C16"/>
    <mergeCell ref="A17:C17"/>
    <mergeCell ref="A18:C18"/>
    <mergeCell ref="A19:C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5885-D195-469D-935C-506A0466A0BE}">
  <dimension ref="A1:B53"/>
  <sheetViews>
    <sheetView workbookViewId="0">
      <selection activeCell="C8" sqref="C8"/>
    </sheetView>
  </sheetViews>
  <sheetFormatPr defaultRowHeight="19.8" x14ac:dyDescent="0.65"/>
  <cols>
    <col min="1" max="2" width="34.6640625" style="60" customWidth="1"/>
    <col min="3" max="3" width="34.6640625" style="45" customWidth="1"/>
    <col min="4" max="16384" width="8.88671875" style="45"/>
  </cols>
  <sheetData>
    <row r="1" spans="1:2" ht="22.8" x14ac:dyDescent="0.75">
      <c r="A1" s="63" t="s">
        <v>279</v>
      </c>
      <c r="B1" s="63"/>
    </row>
    <row r="2" spans="1:2" x14ac:dyDescent="0.65">
      <c r="A2" s="77" t="s">
        <v>280</v>
      </c>
      <c r="B2" s="77" t="s">
        <v>276</v>
      </c>
    </row>
    <row r="3" spans="1:2" x14ac:dyDescent="0.65">
      <c r="A3" s="64" t="s">
        <v>279</v>
      </c>
      <c r="B3" s="64">
        <f>COUNTIF(tbl_employee[ID_count],"&gt;1")</f>
        <v>0</v>
      </c>
    </row>
    <row r="5" spans="1:2" ht="22.8" x14ac:dyDescent="0.75">
      <c r="A5" s="63" t="s">
        <v>281</v>
      </c>
      <c r="B5" s="63"/>
    </row>
    <row r="6" spans="1:2" x14ac:dyDescent="0.65">
      <c r="A6" s="77" t="s">
        <v>241</v>
      </c>
      <c r="B6" s="77" t="s">
        <v>282</v>
      </c>
    </row>
    <row r="7" spans="1:2" x14ac:dyDescent="0.65">
      <c r="A7" s="64" t="s">
        <v>0</v>
      </c>
      <c r="B7" s="64">
        <f>COUNTBLANK(tbl_employee[employee_id])</f>
        <v>0</v>
      </c>
    </row>
    <row r="8" spans="1:2" x14ac:dyDescent="0.65">
      <c r="A8" s="64" t="s">
        <v>1</v>
      </c>
      <c r="B8" s="64">
        <f>COUNTBLANK(tbl_employee[name])</f>
        <v>0</v>
      </c>
    </row>
    <row r="9" spans="1:2" x14ac:dyDescent="0.65">
      <c r="A9" s="64" t="s">
        <v>2</v>
      </c>
      <c r="B9" s="64">
        <f>COUNTBLANK(tbl_employee[role])</f>
        <v>0</v>
      </c>
    </row>
    <row r="10" spans="1:2" x14ac:dyDescent="0.65">
      <c r="A10" s="64" t="s">
        <v>3</v>
      </c>
      <c r="B10" s="64">
        <f>COUNTBLANK(tbl_employee[department])</f>
        <v>0</v>
      </c>
    </row>
    <row r="11" spans="1:2" x14ac:dyDescent="0.65">
      <c r="A11" s="64" t="s">
        <v>4</v>
      </c>
      <c r="B11" s="64">
        <f>COUNTBLANK(tbl_employee[age])</f>
        <v>0</v>
      </c>
    </row>
    <row r="12" spans="1:2" x14ac:dyDescent="0.65">
      <c r="A12" s="64" t="s">
        <v>5</v>
      </c>
      <c r="B12" s="64">
        <f>COUNTBLANK(tbl_employee[gender])</f>
        <v>0</v>
      </c>
    </row>
    <row r="13" spans="1:2" x14ac:dyDescent="0.65">
      <c r="A13" s="64" t="s">
        <v>6</v>
      </c>
      <c r="B13" s="64">
        <f>COUNTBLANK(tbl_employee[join_date])</f>
        <v>0</v>
      </c>
    </row>
    <row r="15" spans="1:2" ht="22.8" x14ac:dyDescent="0.75">
      <c r="A15" s="63" t="s">
        <v>283</v>
      </c>
      <c r="B15" s="63"/>
    </row>
    <row r="16" spans="1:2" x14ac:dyDescent="0.65">
      <c r="A16" s="77" t="s">
        <v>241</v>
      </c>
      <c r="B16" s="77" t="s">
        <v>282</v>
      </c>
    </row>
    <row r="17" spans="1:2" x14ac:dyDescent="0.65">
      <c r="A17" s="64" t="s">
        <v>0</v>
      </c>
      <c r="B17" s="64">
        <f>COUNTBLANK(tbl_performance[employee_id])</f>
        <v>0</v>
      </c>
    </row>
    <row r="18" spans="1:2" x14ac:dyDescent="0.65">
      <c r="A18" s="64" t="s">
        <v>237</v>
      </c>
      <c r="B18" s="64">
        <f>COUNTBLANK(tbl_performance[month])</f>
        <v>0</v>
      </c>
    </row>
    <row r="19" spans="1:2" x14ac:dyDescent="0.65">
      <c r="A19" s="64" t="s">
        <v>238</v>
      </c>
      <c r="B19" s="64">
        <f>COUNTBLANK(tbl_performance[target])</f>
        <v>0</v>
      </c>
    </row>
    <row r="20" spans="1:2" x14ac:dyDescent="0.65">
      <c r="A20" s="64" t="s">
        <v>239</v>
      </c>
      <c r="B20" s="64">
        <f>COUNTBLANK(tbl_performance[achieved])</f>
        <v>0</v>
      </c>
    </row>
    <row r="22" spans="1:2" ht="22.8" x14ac:dyDescent="0.75">
      <c r="A22" s="63" t="s">
        <v>284</v>
      </c>
      <c r="B22" s="63"/>
    </row>
    <row r="23" spans="1:2" x14ac:dyDescent="0.65">
      <c r="A23" s="77" t="s">
        <v>280</v>
      </c>
      <c r="B23" s="77" t="s">
        <v>276</v>
      </c>
    </row>
    <row r="24" spans="1:2" x14ac:dyDescent="0.65">
      <c r="A24" s="64" t="s">
        <v>285</v>
      </c>
      <c r="B24" s="64">
        <f>MIN(tbl_employee[age])</f>
        <v>22</v>
      </c>
    </row>
    <row r="25" spans="1:2" x14ac:dyDescent="0.65">
      <c r="A25" s="64" t="s">
        <v>286</v>
      </c>
      <c r="B25" s="64">
        <f>MAX(tbl_employee[age])</f>
        <v>45</v>
      </c>
    </row>
    <row r="27" spans="1:2" ht="22.8" x14ac:dyDescent="0.75">
      <c r="A27" s="63" t="s">
        <v>287</v>
      </c>
      <c r="B27" s="63"/>
    </row>
    <row r="28" spans="1:2" x14ac:dyDescent="0.65">
      <c r="A28" s="77" t="s">
        <v>280</v>
      </c>
      <c r="B28" s="77" t="s">
        <v>276</v>
      </c>
    </row>
    <row r="29" spans="1:2" x14ac:dyDescent="0.65">
      <c r="A29" s="64" t="s">
        <v>288</v>
      </c>
      <c r="B29" s="65">
        <f>MIN(tbl_employee[join_date])</f>
        <v>42660</v>
      </c>
    </row>
    <row r="30" spans="1:2" x14ac:dyDescent="0.65">
      <c r="A30" s="64" t="s">
        <v>289</v>
      </c>
      <c r="B30" s="65">
        <f>MAX(tbl_employee[join_date])</f>
        <v>45949</v>
      </c>
    </row>
    <row r="32" spans="1:2" ht="22.8" x14ac:dyDescent="0.75">
      <c r="A32" s="63" t="s">
        <v>290</v>
      </c>
      <c r="B32" s="63"/>
    </row>
    <row r="33" spans="1:2" x14ac:dyDescent="0.65">
      <c r="A33" s="77" t="s">
        <v>280</v>
      </c>
      <c r="B33" s="77" t="s">
        <v>276</v>
      </c>
    </row>
    <row r="34" spans="1:2" x14ac:dyDescent="0.65">
      <c r="A34" s="64" t="s">
        <v>291</v>
      </c>
      <c r="B34" s="64">
        <f>COUNTIF(tbl_performance[target],"&lt;=0")</f>
        <v>0</v>
      </c>
    </row>
    <row r="36" spans="1:2" ht="22.8" x14ac:dyDescent="0.75">
      <c r="A36" s="63" t="s">
        <v>292</v>
      </c>
      <c r="B36" s="63"/>
    </row>
    <row r="37" spans="1:2" x14ac:dyDescent="0.65">
      <c r="A37" s="77" t="s">
        <v>280</v>
      </c>
      <c r="B37" s="77" t="s">
        <v>276</v>
      </c>
    </row>
    <row r="38" spans="1:2" x14ac:dyDescent="0.65">
      <c r="A38" s="64" t="s">
        <v>293</v>
      </c>
      <c r="B38" s="64">
        <f>COUNTIF(tbl_performance[achieved],"&lt;=0")</f>
        <v>0</v>
      </c>
    </row>
    <row r="40" spans="1:2" ht="22.8" x14ac:dyDescent="0.75">
      <c r="A40" s="63" t="s">
        <v>294</v>
      </c>
      <c r="B40" s="63"/>
    </row>
    <row r="41" spans="1:2" x14ac:dyDescent="0.65">
      <c r="A41" s="77" t="s">
        <v>280</v>
      </c>
      <c r="B41" s="77" t="s">
        <v>276</v>
      </c>
    </row>
    <row r="42" spans="1:2" x14ac:dyDescent="0.65">
      <c r="A42" s="64" t="s">
        <v>294</v>
      </c>
      <c r="B42" s="64">
        <f>COUNTIF(tbl_performance[key_count],"&gt;1")</f>
        <v>0</v>
      </c>
    </row>
    <row r="44" spans="1:2" ht="22.8" x14ac:dyDescent="0.75">
      <c r="A44" s="63" t="s">
        <v>295</v>
      </c>
      <c r="B44" s="63"/>
    </row>
    <row r="45" spans="1:2" x14ac:dyDescent="0.65">
      <c r="A45" s="77" t="s">
        <v>296</v>
      </c>
      <c r="B45" s="77" t="s">
        <v>276</v>
      </c>
    </row>
    <row r="46" spans="1:2" x14ac:dyDescent="0.65">
      <c r="A46" s="64" t="s">
        <v>279</v>
      </c>
      <c r="B46" s="64" t="s">
        <v>303</v>
      </c>
    </row>
    <row r="47" spans="1:2" x14ac:dyDescent="0.65">
      <c r="A47" s="64" t="s">
        <v>297</v>
      </c>
      <c r="B47" s="64" t="s">
        <v>303</v>
      </c>
    </row>
    <row r="48" spans="1:2" x14ac:dyDescent="0.65">
      <c r="A48" s="64" t="s">
        <v>298</v>
      </c>
      <c r="B48" s="64" t="s">
        <v>303</v>
      </c>
    </row>
    <row r="49" spans="1:2" x14ac:dyDescent="0.65">
      <c r="A49" s="64" t="s">
        <v>284</v>
      </c>
      <c r="B49" s="64" t="s">
        <v>303</v>
      </c>
    </row>
    <row r="50" spans="1:2" x14ac:dyDescent="0.65">
      <c r="A50" s="64" t="s">
        <v>287</v>
      </c>
      <c r="B50" s="64" t="s">
        <v>303</v>
      </c>
    </row>
    <row r="51" spans="1:2" x14ac:dyDescent="0.65">
      <c r="A51" s="64" t="s">
        <v>290</v>
      </c>
      <c r="B51" s="64" t="s">
        <v>303</v>
      </c>
    </row>
    <row r="52" spans="1:2" x14ac:dyDescent="0.65">
      <c r="A52" s="64" t="s">
        <v>292</v>
      </c>
      <c r="B52" s="64" t="s">
        <v>303</v>
      </c>
    </row>
    <row r="53" spans="1:2" x14ac:dyDescent="0.65">
      <c r="A53" s="64" t="s">
        <v>299</v>
      </c>
      <c r="B53" s="64" t="s">
        <v>303</v>
      </c>
    </row>
  </sheetData>
  <mergeCells count="9">
    <mergeCell ref="A36:B36"/>
    <mergeCell ref="A40:B40"/>
    <mergeCell ref="A44:B44"/>
    <mergeCell ref="A1:B1"/>
    <mergeCell ref="A5:B5"/>
    <mergeCell ref="A15:B15"/>
    <mergeCell ref="A22:B22"/>
    <mergeCell ref="A27:B27"/>
    <mergeCell ref="A32:B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EDF9-69FA-4F71-A432-B5328598D32D}">
  <dimension ref="A1:H104"/>
  <sheetViews>
    <sheetView workbookViewId="0">
      <selection activeCell="G10" sqref="G10"/>
    </sheetView>
  </sheetViews>
  <sheetFormatPr defaultRowHeight="14.4" x14ac:dyDescent="0.3"/>
  <cols>
    <col min="1" max="1" width="10.77734375" bestFit="1" customWidth="1"/>
    <col min="2" max="2" width="19.88671875" bestFit="1" customWidth="1"/>
    <col min="4" max="4" width="13.6640625" bestFit="1" customWidth="1"/>
    <col min="5" max="5" width="17.5546875" bestFit="1" customWidth="1"/>
    <col min="7" max="7" width="32.88671875" style="2" customWidth="1"/>
    <col min="8" max="8" width="18.88671875" style="2" customWidth="1"/>
  </cols>
  <sheetData>
    <row r="1" spans="1:8" x14ac:dyDescent="0.3">
      <c r="A1" s="5" t="s">
        <v>274</v>
      </c>
      <c r="B1" t="s">
        <v>318</v>
      </c>
      <c r="G1" s="79" t="s">
        <v>321</v>
      </c>
      <c r="H1" s="79" t="s">
        <v>322</v>
      </c>
    </row>
    <row r="2" spans="1:8" x14ac:dyDescent="0.3">
      <c r="A2" s="6" t="s">
        <v>306</v>
      </c>
      <c r="B2" s="1">
        <v>86</v>
      </c>
      <c r="G2" s="3" t="s">
        <v>323</v>
      </c>
      <c r="H2" s="3">
        <f>COUNTIF(tbl_employee[join_year],"&lt;2025")</f>
        <v>83</v>
      </c>
    </row>
    <row r="3" spans="1:8" ht="19.8" x14ac:dyDescent="0.65">
      <c r="A3" s="6" t="s">
        <v>307</v>
      </c>
      <c r="B3" s="1">
        <v>87</v>
      </c>
      <c r="D3" s="54" t="s">
        <v>304</v>
      </c>
      <c r="E3" s="45" t="s">
        <v>319</v>
      </c>
      <c r="G3" s="3" t="s">
        <v>324</v>
      </c>
      <c r="H3" s="3">
        <f>COUNTIF(tbl_employee[join_year],"2025")</f>
        <v>17</v>
      </c>
    </row>
    <row r="4" spans="1:8" ht="19.8" x14ac:dyDescent="0.65">
      <c r="A4" s="6" t="s">
        <v>308</v>
      </c>
      <c r="B4" s="1">
        <v>90</v>
      </c>
      <c r="D4" s="55" t="s">
        <v>7</v>
      </c>
      <c r="E4" s="57">
        <v>12</v>
      </c>
      <c r="G4" s="7" t="s">
        <v>325</v>
      </c>
      <c r="H4" s="7">
        <f>SUM(H2:H3)</f>
        <v>100</v>
      </c>
    </row>
    <row r="5" spans="1:8" ht="19.8" x14ac:dyDescent="0.65">
      <c r="A5" s="6" t="s">
        <v>309</v>
      </c>
      <c r="B5" s="1">
        <v>93</v>
      </c>
      <c r="D5" s="55" t="s">
        <v>12</v>
      </c>
      <c r="E5" s="57">
        <v>12</v>
      </c>
    </row>
    <row r="6" spans="1:8" ht="19.8" x14ac:dyDescent="0.65">
      <c r="A6" s="6" t="s">
        <v>310</v>
      </c>
      <c r="B6" s="1">
        <v>93</v>
      </c>
      <c r="D6" s="55" t="s">
        <v>15</v>
      </c>
      <c r="E6" s="57">
        <v>12</v>
      </c>
    </row>
    <row r="7" spans="1:8" ht="19.8" x14ac:dyDescent="0.65">
      <c r="A7" s="6" t="s">
        <v>311</v>
      </c>
      <c r="B7" s="1">
        <v>94</v>
      </c>
      <c r="D7" s="55" t="s">
        <v>19</v>
      </c>
      <c r="E7" s="57">
        <v>12</v>
      </c>
    </row>
    <row r="8" spans="1:8" ht="19.8" x14ac:dyDescent="0.65">
      <c r="A8" s="6" t="s">
        <v>312</v>
      </c>
      <c r="B8" s="1">
        <v>95</v>
      </c>
      <c r="D8" s="55" t="s">
        <v>23</v>
      </c>
      <c r="E8" s="57">
        <v>12</v>
      </c>
    </row>
    <row r="9" spans="1:8" ht="19.8" x14ac:dyDescent="0.65">
      <c r="A9" s="6" t="s">
        <v>313</v>
      </c>
      <c r="B9" s="1">
        <v>95</v>
      </c>
      <c r="D9" s="55" t="s">
        <v>26</v>
      </c>
      <c r="E9" s="57">
        <v>12</v>
      </c>
    </row>
    <row r="10" spans="1:8" ht="19.8" x14ac:dyDescent="0.65">
      <c r="A10" s="6" t="s">
        <v>314</v>
      </c>
      <c r="B10" s="1">
        <v>96</v>
      </c>
      <c r="D10" s="55" t="s">
        <v>30</v>
      </c>
      <c r="E10" s="57">
        <v>10</v>
      </c>
    </row>
    <row r="11" spans="1:8" ht="19.8" x14ac:dyDescent="0.65">
      <c r="A11" s="6" t="s">
        <v>315</v>
      </c>
      <c r="B11" s="1">
        <v>100</v>
      </c>
      <c r="D11" s="55" t="s">
        <v>34</v>
      </c>
      <c r="E11" s="57">
        <v>12</v>
      </c>
    </row>
    <row r="12" spans="1:8" ht="19.8" x14ac:dyDescent="0.65">
      <c r="A12" s="6" t="s">
        <v>316</v>
      </c>
      <c r="B12" s="1">
        <v>100</v>
      </c>
      <c r="D12" s="55" t="s">
        <v>38</v>
      </c>
      <c r="E12" s="57">
        <v>12</v>
      </c>
    </row>
    <row r="13" spans="1:8" ht="19.8" x14ac:dyDescent="0.65">
      <c r="A13" s="6" t="s">
        <v>317</v>
      </c>
      <c r="B13" s="1">
        <v>100</v>
      </c>
      <c r="D13" s="55" t="s">
        <v>41</v>
      </c>
      <c r="E13" s="57">
        <v>12</v>
      </c>
    </row>
    <row r="14" spans="1:8" ht="19.8" x14ac:dyDescent="0.65">
      <c r="A14" s="6" t="s">
        <v>305</v>
      </c>
      <c r="B14" s="1">
        <v>1129</v>
      </c>
      <c r="D14" s="55" t="s">
        <v>44</v>
      </c>
      <c r="E14" s="57">
        <v>12</v>
      </c>
    </row>
    <row r="15" spans="1:8" ht="19.8" x14ac:dyDescent="0.65">
      <c r="D15" s="55" t="s">
        <v>46</v>
      </c>
      <c r="E15" s="57">
        <v>12</v>
      </c>
    </row>
    <row r="16" spans="1:8" ht="19.8" x14ac:dyDescent="0.65">
      <c r="D16" s="55" t="s">
        <v>48</v>
      </c>
      <c r="E16" s="57">
        <v>12</v>
      </c>
    </row>
    <row r="17" spans="4:5" ht="19.8" x14ac:dyDescent="0.65">
      <c r="D17" s="55" t="s">
        <v>51</v>
      </c>
      <c r="E17" s="57">
        <v>12</v>
      </c>
    </row>
    <row r="18" spans="4:5" ht="19.8" x14ac:dyDescent="0.65">
      <c r="D18" s="55" t="s">
        <v>53</v>
      </c>
      <c r="E18" s="57">
        <v>12</v>
      </c>
    </row>
    <row r="19" spans="4:5" ht="19.8" x14ac:dyDescent="0.65">
      <c r="D19" s="55" t="s">
        <v>55</v>
      </c>
      <c r="E19" s="57">
        <v>12</v>
      </c>
    </row>
    <row r="20" spans="4:5" ht="19.8" x14ac:dyDescent="0.65">
      <c r="D20" s="55" t="s">
        <v>58</v>
      </c>
      <c r="E20" s="57">
        <v>12</v>
      </c>
    </row>
    <row r="21" spans="4:5" ht="19.8" x14ac:dyDescent="0.65">
      <c r="D21" s="55" t="s">
        <v>62</v>
      </c>
      <c r="E21" s="57">
        <v>3</v>
      </c>
    </row>
    <row r="22" spans="4:5" ht="19.8" x14ac:dyDescent="0.65">
      <c r="D22" s="55" t="s">
        <v>64</v>
      </c>
      <c r="E22" s="57">
        <v>12</v>
      </c>
    </row>
    <row r="23" spans="4:5" ht="19.8" x14ac:dyDescent="0.65">
      <c r="D23" s="55" t="s">
        <v>67</v>
      </c>
      <c r="E23" s="57">
        <v>12</v>
      </c>
    </row>
    <row r="24" spans="4:5" ht="19.8" x14ac:dyDescent="0.65">
      <c r="D24" s="55" t="s">
        <v>69</v>
      </c>
      <c r="E24" s="57">
        <v>12</v>
      </c>
    </row>
    <row r="25" spans="4:5" ht="19.8" x14ac:dyDescent="0.65">
      <c r="D25" s="55" t="s">
        <v>72</v>
      </c>
      <c r="E25" s="57">
        <v>12</v>
      </c>
    </row>
    <row r="26" spans="4:5" ht="19.8" x14ac:dyDescent="0.65">
      <c r="D26" s="55" t="s">
        <v>74</v>
      </c>
      <c r="E26" s="57">
        <v>9</v>
      </c>
    </row>
    <row r="27" spans="4:5" ht="19.8" x14ac:dyDescent="0.65">
      <c r="D27" s="55" t="s">
        <v>76</v>
      </c>
      <c r="E27" s="57">
        <v>12</v>
      </c>
    </row>
    <row r="28" spans="4:5" ht="19.8" x14ac:dyDescent="0.65">
      <c r="D28" s="55" t="s">
        <v>78</v>
      </c>
      <c r="E28" s="57">
        <v>12</v>
      </c>
    </row>
    <row r="29" spans="4:5" ht="19.8" x14ac:dyDescent="0.65">
      <c r="D29" s="55" t="s">
        <v>81</v>
      </c>
      <c r="E29" s="57">
        <v>12</v>
      </c>
    </row>
    <row r="30" spans="4:5" ht="19.8" x14ac:dyDescent="0.65">
      <c r="D30" s="55" t="s">
        <v>84</v>
      </c>
      <c r="E30" s="57">
        <v>9</v>
      </c>
    </row>
    <row r="31" spans="4:5" ht="19.8" x14ac:dyDescent="0.65">
      <c r="D31" s="55" t="s">
        <v>86</v>
      </c>
      <c r="E31" s="57">
        <v>12</v>
      </c>
    </row>
    <row r="32" spans="4:5" ht="19.8" x14ac:dyDescent="0.65">
      <c r="D32" s="55" t="s">
        <v>89</v>
      </c>
      <c r="E32" s="57">
        <v>12</v>
      </c>
    </row>
    <row r="33" spans="4:5" ht="19.8" x14ac:dyDescent="0.65">
      <c r="D33" s="55" t="s">
        <v>91</v>
      </c>
      <c r="E33" s="57">
        <v>12</v>
      </c>
    </row>
    <row r="34" spans="4:5" ht="19.8" x14ac:dyDescent="0.65">
      <c r="D34" s="55" t="s">
        <v>93</v>
      </c>
      <c r="E34" s="57">
        <v>12</v>
      </c>
    </row>
    <row r="35" spans="4:5" ht="19.8" x14ac:dyDescent="0.65">
      <c r="D35" s="55" t="s">
        <v>95</v>
      </c>
      <c r="E35" s="57">
        <v>12</v>
      </c>
    </row>
    <row r="36" spans="4:5" ht="19.8" x14ac:dyDescent="0.65">
      <c r="D36" s="55" t="s">
        <v>98</v>
      </c>
      <c r="E36" s="57">
        <v>12</v>
      </c>
    </row>
    <row r="37" spans="4:5" ht="19.8" x14ac:dyDescent="0.65">
      <c r="D37" s="55" t="s">
        <v>100</v>
      </c>
      <c r="E37" s="57">
        <v>12</v>
      </c>
    </row>
    <row r="38" spans="4:5" ht="19.8" x14ac:dyDescent="0.65">
      <c r="D38" s="55" t="s">
        <v>103</v>
      </c>
      <c r="E38" s="57">
        <v>12</v>
      </c>
    </row>
    <row r="39" spans="4:5" ht="19.8" x14ac:dyDescent="0.65">
      <c r="D39" s="55" t="s">
        <v>105</v>
      </c>
      <c r="E39" s="57">
        <v>3</v>
      </c>
    </row>
    <row r="40" spans="4:5" ht="19.8" x14ac:dyDescent="0.65">
      <c r="D40" s="55" t="s">
        <v>107</v>
      </c>
      <c r="E40" s="57">
        <v>4</v>
      </c>
    </row>
    <row r="41" spans="4:5" ht="19.8" x14ac:dyDescent="0.65">
      <c r="D41" s="55" t="s">
        <v>109</v>
      </c>
      <c r="E41" s="57">
        <v>12</v>
      </c>
    </row>
    <row r="42" spans="4:5" ht="19.8" x14ac:dyDescent="0.65">
      <c r="D42" s="55" t="s">
        <v>112</v>
      </c>
      <c r="E42" s="57">
        <v>12</v>
      </c>
    </row>
    <row r="43" spans="4:5" ht="19.8" x14ac:dyDescent="0.65">
      <c r="D43" s="55" t="s">
        <v>114</v>
      </c>
      <c r="E43" s="57">
        <v>12</v>
      </c>
    </row>
    <row r="44" spans="4:5" ht="19.8" x14ac:dyDescent="0.65">
      <c r="D44" s="55" t="s">
        <v>116</v>
      </c>
      <c r="E44" s="57">
        <v>12</v>
      </c>
    </row>
    <row r="45" spans="4:5" ht="19.8" x14ac:dyDescent="0.65">
      <c r="D45" s="55" t="s">
        <v>118</v>
      </c>
      <c r="E45" s="57">
        <v>12</v>
      </c>
    </row>
    <row r="46" spans="4:5" ht="19.8" x14ac:dyDescent="0.65">
      <c r="D46" s="55" t="s">
        <v>120</v>
      </c>
      <c r="E46" s="57">
        <v>3</v>
      </c>
    </row>
    <row r="47" spans="4:5" ht="19.8" x14ac:dyDescent="0.65">
      <c r="D47" s="55" t="s">
        <v>122</v>
      </c>
      <c r="E47" s="57">
        <v>9</v>
      </c>
    </row>
    <row r="48" spans="4:5" ht="19.8" x14ac:dyDescent="0.65">
      <c r="D48" s="55" t="s">
        <v>124</v>
      </c>
      <c r="E48" s="57">
        <v>12</v>
      </c>
    </row>
    <row r="49" spans="4:5" ht="19.8" x14ac:dyDescent="0.65">
      <c r="D49" s="55" t="s">
        <v>126</v>
      </c>
      <c r="E49" s="57">
        <v>12</v>
      </c>
    </row>
    <row r="50" spans="4:5" ht="19.8" x14ac:dyDescent="0.65">
      <c r="D50" s="55" t="s">
        <v>128</v>
      </c>
      <c r="E50" s="57">
        <v>12</v>
      </c>
    </row>
    <row r="51" spans="4:5" ht="19.8" x14ac:dyDescent="0.65">
      <c r="D51" s="55" t="s">
        <v>130</v>
      </c>
      <c r="E51" s="57">
        <v>12</v>
      </c>
    </row>
    <row r="52" spans="4:5" ht="19.8" x14ac:dyDescent="0.65">
      <c r="D52" s="55" t="s">
        <v>132</v>
      </c>
      <c r="E52" s="57">
        <v>12</v>
      </c>
    </row>
    <row r="53" spans="4:5" ht="19.8" x14ac:dyDescent="0.65">
      <c r="D53" s="55" t="s">
        <v>134</v>
      </c>
      <c r="E53" s="57">
        <v>12</v>
      </c>
    </row>
    <row r="54" spans="4:5" ht="19.8" x14ac:dyDescent="0.65">
      <c r="D54" s="55" t="s">
        <v>136</v>
      </c>
      <c r="E54" s="57">
        <v>3</v>
      </c>
    </row>
    <row r="55" spans="4:5" ht="19.8" x14ac:dyDescent="0.65">
      <c r="D55" s="55" t="s">
        <v>138</v>
      </c>
      <c r="E55" s="57">
        <v>11</v>
      </c>
    </row>
    <row r="56" spans="4:5" ht="19.8" x14ac:dyDescent="0.65">
      <c r="D56" s="55" t="s">
        <v>140</v>
      </c>
      <c r="E56" s="57">
        <v>12</v>
      </c>
    </row>
    <row r="57" spans="4:5" ht="19.8" x14ac:dyDescent="0.65">
      <c r="D57" s="55" t="s">
        <v>142</v>
      </c>
      <c r="E57" s="57">
        <v>12</v>
      </c>
    </row>
    <row r="58" spans="4:5" ht="19.8" x14ac:dyDescent="0.65">
      <c r="D58" s="55" t="s">
        <v>144</v>
      </c>
      <c r="E58" s="57">
        <v>12</v>
      </c>
    </row>
    <row r="59" spans="4:5" ht="19.8" x14ac:dyDescent="0.65">
      <c r="D59" s="55" t="s">
        <v>146</v>
      </c>
      <c r="E59" s="57">
        <v>12</v>
      </c>
    </row>
    <row r="60" spans="4:5" ht="19.8" x14ac:dyDescent="0.65">
      <c r="D60" s="55" t="s">
        <v>148</v>
      </c>
      <c r="E60" s="57">
        <v>12</v>
      </c>
    </row>
    <row r="61" spans="4:5" ht="19.8" x14ac:dyDescent="0.65">
      <c r="D61" s="55" t="s">
        <v>150</v>
      </c>
      <c r="E61" s="57">
        <v>6</v>
      </c>
    </row>
    <row r="62" spans="4:5" ht="19.8" x14ac:dyDescent="0.65">
      <c r="D62" s="55" t="s">
        <v>152</v>
      </c>
      <c r="E62" s="57">
        <v>12</v>
      </c>
    </row>
    <row r="63" spans="4:5" ht="19.8" x14ac:dyDescent="0.65">
      <c r="D63" s="55" t="s">
        <v>154</v>
      </c>
      <c r="E63" s="57">
        <v>12</v>
      </c>
    </row>
    <row r="64" spans="4:5" ht="19.8" x14ac:dyDescent="0.65">
      <c r="D64" s="55" t="s">
        <v>156</v>
      </c>
      <c r="E64" s="57">
        <v>12</v>
      </c>
    </row>
    <row r="65" spans="4:5" ht="19.8" x14ac:dyDescent="0.65">
      <c r="D65" s="55" t="s">
        <v>158</v>
      </c>
      <c r="E65" s="57">
        <v>12</v>
      </c>
    </row>
    <row r="66" spans="4:5" ht="19.8" x14ac:dyDescent="0.65">
      <c r="D66" s="55" t="s">
        <v>160</v>
      </c>
      <c r="E66" s="57">
        <v>12</v>
      </c>
    </row>
    <row r="67" spans="4:5" ht="19.8" x14ac:dyDescent="0.65">
      <c r="D67" s="55" t="s">
        <v>162</v>
      </c>
      <c r="E67" s="57">
        <v>12</v>
      </c>
    </row>
    <row r="68" spans="4:5" ht="19.8" x14ac:dyDescent="0.65">
      <c r="D68" s="55" t="s">
        <v>164</v>
      </c>
      <c r="E68" s="57">
        <v>12</v>
      </c>
    </row>
    <row r="69" spans="4:5" ht="19.8" x14ac:dyDescent="0.65">
      <c r="D69" s="55" t="s">
        <v>165</v>
      </c>
      <c r="E69" s="57">
        <v>10</v>
      </c>
    </row>
    <row r="70" spans="4:5" ht="19.8" x14ac:dyDescent="0.65">
      <c r="D70" s="55" t="s">
        <v>168</v>
      </c>
      <c r="E70" s="57">
        <v>12</v>
      </c>
    </row>
    <row r="71" spans="4:5" ht="19.8" x14ac:dyDescent="0.65">
      <c r="D71" s="55" t="s">
        <v>170</v>
      </c>
      <c r="E71" s="57">
        <v>12</v>
      </c>
    </row>
    <row r="72" spans="4:5" ht="19.8" x14ac:dyDescent="0.65">
      <c r="D72" s="55" t="s">
        <v>172</v>
      </c>
      <c r="E72" s="57">
        <v>12</v>
      </c>
    </row>
    <row r="73" spans="4:5" ht="19.8" x14ac:dyDescent="0.65">
      <c r="D73" s="55" t="s">
        <v>175</v>
      </c>
      <c r="E73" s="57">
        <v>12</v>
      </c>
    </row>
    <row r="74" spans="4:5" ht="19.8" x14ac:dyDescent="0.65">
      <c r="D74" s="55" t="s">
        <v>177</v>
      </c>
      <c r="E74" s="57">
        <v>12</v>
      </c>
    </row>
    <row r="75" spans="4:5" ht="19.8" x14ac:dyDescent="0.65">
      <c r="D75" s="55" t="s">
        <v>179</v>
      </c>
      <c r="E75" s="57">
        <v>12</v>
      </c>
    </row>
    <row r="76" spans="4:5" ht="19.8" x14ac:dyDescent="0.65">
      <c r="D76" s="55" t="s">
        <v>181</v>
      </c>
      <c r="E76" s="57">
        <v>12</v>
      </c>
    </row>
    <row r="77" spans="4:5" ht="19.8" x14ac:dyDescent="0.65">
      <c r="D77" s="55" t="s">
        <v>183</v>
      </c>
      <c r="E77" s="57">
        <v>12</v>
      </c>
    </row>
    <row r="78" spans="4:5" ht="19.8" x14ac:dyDescent="0.65">
      <c r="D78" s="55" t="s">
        <v>185</v>
      </c>
      <c r="E78" s="57">
        <v>12</v>
      </c>
    </row>
    <row r="79" spans="4:5" ht="19.8" x14ac:dyDescent="0.65">
      <c r="D79" s="55" t="s">
        <v>187</v>
      </c>
      <c r="E79" s="57">
        <v>12</v>
      </c>
    </row>
    <row r="80" spans="4:5" ht="19.8" x14ac:dyDescent="0.65">
      <c r="D80" s="55" t="s">
        <v>189</v>
      </c>
      <c r="E80" s="57">
        <v>12</v>
      </c>
    </row>
    <row r="81" spans="4:5" ht="19.8" x14ac:dyDescent="0.65">
      <c r="D81" s="55" t="s">
        <v>191</v>
      </c>
      <c r="E81" s="57">
        <v>7</v>
      </c>
    </row>
    <row r="82" spans="4:5" ht="19.8" x14ac:dyDescent="0.65">
      <c r="D82" s="55" t="s">
        <v>193</v>
      </c>
      <c r="E82" s="57">
        <v>10</v>
      </c>
    </row>
    <row r="83" spans="4:5" ht="19.8" x14ac:dyDescent="0.65">
      <c r="D83" s="55" t="s">
        <v>195</v>
      </c>
      <c r="E83" s="57">
        <v>12</v>
      </c>
    </row>
    <row r="84" spans="4:5" ht="19.8" x14ac:dyDescent="0.65">
      <c r="D84" s="55" t="s">
        <v>197</v>
      </c>
      <c r="E84" s="57">
        <v>12</v>
      </c>
    </row>
    <row r="85" spans="4:5" ht="19.8" x14ac:dyDescent="0.65">
      <c r="D85" s="55" t="s">
        <v>199</v>
      </c>
      <c r="E85" s="57">
        <v>12</v>
      </c>
    </row>
    <row r="86" spans="4:5" ht="19.8" x14ac:dyDescent="0.65">
      <c r="D86" s="55" t="s">
        <v>201</v>
      </c>
      <c r="E86" s="57">
        <v>12</v>
      </c>
    </row>
    <row r="87" spans="4:5" ht="19.8" x14ac:dyDescent="0.65">
      <c r="D87" s="55" t="s">
        <v>203</v>
      </c>
      <c r="E87" s="57">
        <v>12</v>
      </c>
    </row>
    <row r="88" spans="4:5" ht="19.8" x14ac:dyDescent="0.65">
      <c r="D88" s="55" t="s">
        <v>206</v>
      </c>
      <c r="E88" s="57">
        <v>12</v>
      </c>
    </row>
    <row r="89" spans="4:5" ht="19.8" x14ac:dyDescent="0.65">
      <c r="D89" s="55" t="s">
        <v>208</v>
      </c>
      <c r="E89" s="57">
        <v>12</v>
      </c>
    </row>
    <row r="90" spans="4:5" ht="19.8" x14ac:dyDescent="0.65">
      <c r="D90" s="55" t="s">
        <v>210</v>
      </c>
      <c r="E90" s="57">
        <v>12</v>
      </c>
    </row>
    <row r="91" spans="4:5" ht="19.8" x14ac:dyDescent="0.65">
      <c r="D91" s="55" t="s">
        <v>212</v>
      </c>
      <c r="E91" s="57">
        <v>12</v>
      </c>
    </row>
    <row r="92" spans="4:5" ht="19.8" x14ac:dyDescent="0.65">
      <c r="D92" s="55" t="s">
        <v>213</v>
      </c>
      <c r="E92" s="57">
        <v>12</v>
      </c>
    </row>
    <row r="93" spans="4:5" ht="19.8" x14ac:dyDescent="0.65">
      <c r="D93" s="55" t="s">
        <v>215</v>
      </c>
      <c r="E93" s="57">
        <v>12</v>
      </c>
    </row>
    <row r="94" spans="4:5" ht="19.8" x14ac:dyDescent="0.65">
      <c r="D94" s="55" t="s">
        <v>217</v>
      </c>
      <c r="E94" s="57">
        <v>12</v>
      </c>
    </row>
    <row r="95" spans="4:5" ht="19.8" x14ac:dyDescent="0.65">
      <c r="D95" s="55" t="s">
        <v>219</v>
      </c>
      <c r="E95" s="57">
        <v>12</v>
      </c>
    </row>
    <row r="96" spans="4:5" ht="19.8" x14ac:dyDescent="0.65">
      <c r="D96" s="55" t="s">
        <v>221</v>
      </c>
      <c r="E96" s="57">
        <v>12</v>
      </c>
    </row>
    <row r="97" spans="4:5" ht="19.8" x14ac:dyDescent="0.65">
      <c r="D97" s="55" t="s">
        <v>223</v>
      </c>
      <c r="E97" s="57">
        <v>12</v>
      </c>
    </row>
    <row r="98" spans="4:5" ht="19.8" x14ac:dyDescent="0.65">
      <c r="D98" s="55" t="s">
        <v>225</v>
      </c>
      <c r="E98" s="57">
        <v>12</v>
      </c>
    </row>
    <row r="99" spans="4:5" ht="19.8" x14ac:dyDescent="0.65">
      <c r="D99" s="55" t="s">
        <v>227</v>
      </c>
      <c r="E99" s="57">
        <v>12</v>
      </c>
    </row>
    <row r="100" spans="4:5" ht="19.8" x14ac:dyDescent="0.65">
      <c r="D100" s="55" t="s">
        <v>229</v>
      </c>
      <c r="E100" s="57">
        <v>12</v>
      </c>
    </row>
    <row r="101" spans="4:5" ht="19.8" x14ac:dyDescent="0.65">
      <c r="D101" s="55" t="s">
        <v>231</v>
      </c>
      <c r="E101" s="57">
        <v>12</v>
      </c>
    </row>
    <row r="102" spans="4:5" ht="19.8" x14ac:dyDescent="0.65">
      <c r="D102" s="55" t="s">
        <v>233</v>
      </c>
      <c r="E102" s="57">
        <v>12</v>
      </c>
    </row>
    <row r="103" spans="4:5" ht="19.8" x14ac:dyDescent="0.65">
      <c r="D103" s="55" t="s">
        <v>235</v>
      </c>
      <c r="E103" s="57">
        <v>12</v>
      </c>
    </row>
    <row r="104" spans="4:5" ht="19.8" x14ac:dyDescent="0.65">
      <c r="D104" s="55" t="s">
        <v>305</v>
      </c>
      <c r="E104" s="57">
        <v>1129</v>
      </c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027E-74E5-4290-BB46-096E68BE2979}">
  <dimension ref="A1:I101"/>
  <sheetViews>
    <sheetView workbookViewId="0">
      <selection activeCell="D10" sqref="D10"/>
    </sheetView>
  </sheetViews>
  <sheetFormatPr defaultRowHeight="14.4" x14ac:dyDescent="0.3"/>
  <cols>
    <col min="1" max="1" width="14.109375" bestFit="1" customWidth="1"/>
    <col min="2" max="2" width="17.5546875" bestFit="1" customWidth="1"/>
    <col min="3" max="3" width="22.5546875" bestFit="1" customWidth="1"/>
    <col min="4" max="4" width="16.33203125" bestFit="1" customWidth="1"/>
    <col min="5" max="5" width="6.21875" bestFit="1" customWidth="1"/>
    <col min="6" max="6" width="9.109375" bestFit="1" customWidth="1"/>
    <col min="7" max="7" width="11.88671875" bestFit="1" customWidth="1"/>
    <col min="8" max="8" width="10.88671875" bestFit="1" customWidth="1"/>
    <col min="9" max="9" width="11.109375" bestFit="1" customWidth="1"/>
  </cols>
  <sheetData>
    <row r="1" spans="1:9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300</v>
      </c>
      <c r="I1" s="78" t="s">
        <v>320</v>
      </c>
    </row>
    <row r="2" spans="1:9" ht="19.8" x14ac:dyDescent="0.65">
      <c r="A2" s="57" t="s">
        <v>7</v>
      </c>
      <c r="B2" s="57" t="s">
        <v>8</v>
      </c>
      <c r="C2" s="57" t="s">
        <v>9</v>
      </c>
      <c r="D2" s="57" t="s">
        <v>10</v>
      </c>
      <c r="E2" s="45">
        <v>32</v>
      </c>
      <c r="F2" s="57" t="s">
        <v>11</v>
      </c>
      <c r="G2" s="62">
        <v>45191</v>
      </c>
      <c r="H2" s="57">
        <f>COUNTIF(tbl_employee[employee_id],tbl_employee[[#This Row],[employee_id]])</f>
        <v>1</v>
      </c>
      <c r="I2" s="57">
        <f>YEAR(tbl_employee[[#This Row],[join_date]])</f>
        <v>2023</v>
      </c>
    </row>
    <row r="3" spans="1:9" ht="19.8" x14ac:dyDescent="0.65">
      <c r="A3" s="57" t="s">
        <v>12</v>
      </c>
      <c r="B3" s="57" t="s">
        <v>13</v>
      </c>
      <c r="C3" s="57" t="s">
        <v>14</v>
      </c>
      <c r="D3" s="57" t="s">
        <v>10</v>
      </c>
      <c r="E3" s="45">
        <v>30</v>
      </c>
      <c r="F3" s="57" t="s">
        <v>11</v>
      </c>
      <c r="G3" s="62">
        <v>44625</v>
      </c>
      <c r="H3" s="57">
        <f>COUNTIF(tbl_employee[employee_id],tbl_employee[[#This Row],[employee_id]])</f>
        <v>1</v>
      </c>
      <c r="I3" s="57">
        <f>YEAR(tbl_employee[[#This Row],[join_date]])</f>
        <v>2022</v>
      </c>
    </row>
    <row r="4" spans="1:9" ht="19.8" x14ac:dyDescent="0.65">
      <c r="A4" s="57" t="s">
        <v>15</v>
      </c>
      <c r="B4" s="57" t="s">
        <v>16</v>
      </c>
      <c r="C4" s="57" t="s">
        <v>17</v>
      </c>
      <c r="D4" s="57" t="s">
        <v>18</v>
      </c>
      <c r="E4" s="45">
        <v>29</v>
      </c>
      <c r="F4" s="57" t="s">
        <v>11</v>
      </c>
      <c r="G4" s="62">
        <v>44583</v>
      </c>
      <c r="H4" s="57">
        <f>COUNTIF(tbl_employee[employee_id],tbl_employee[[#This Row],[employee_id]])</f>
        <v>1</v>
      </c>
      <c r="I4" s="57">
        <f>YEAR(tbl_employee[[#This Row],[join_date]])</f>
        <v>2022</v>
      </c>
    </row>
    <row r="5" spans="1:9" ht="19.8" x14ac:dyDescent="0.65">
      <c r="A5" s="57" t="s">
        <v>19</v>
      </c>
      <c r="B5" s="57" t="s">
        <v>20</v>
      </c>
      <c r="C5" s="57" t="s">
        <v>21</v>
      </c>
      <c r="D5" s="57" t="s">
        <v>22</v>
      </c>
      <c r="E5" s="45">
        <v>38</v>
      </c>
      <c r="F5" s="57" t="s">
        <v>11</v>
      </c>
      <c r="G5" s="62">
        <v>44635</v>
      </c>
      <c r="H5" s="57">
        <f>COUNTIF(tbl_employee[employee_id],tbl_employee[[#This Row],[employee_id]])</f>
        <v>1</v>
      </c>
      <c r="I5" s="57">
        <f>YEAR(tbl_employee[[#This Row],[join_date]])</f>
        <v>2022</v>
      </c>
    </row>
    <row r="6" spans="1:9" ht="19.8" x14ac:dyDescent="0.65">
      <c r="A6" s="57" t="s">
        <v>23</v>
      </c>
      <c r="B6" s="57" t="s">
        <v>24</v>
      </c>
      <c r="C6" s="57" t="s">
        <v>14</v>
      </c>
      <c r="D6" s="57" t="s">
        <v>10</v>
      </c>
      <c r="E6" s="45">
        <v>26</v>
      </c>
      <c r="F6" s="57" t="s">
        <v>25</v>
      </c>
      <c r="G6" s="62">
        <v>45539</v>
      </c>
      <c r="H6" s="57">
        <f>COUNTIF(tbl_employee[employee_id],tbl_employee[[#This Row],[employee_id]])</f>
        <v>1</v>
      </c>
      <c r="I6" s="57">
        <f>YEAR(tbl_employee[[#This Row],[join_date]])</f>
        <v>2024</v>
      </c>
    </row>
    <row r="7" spans="1:9" ht="19.8" x14ac:dyDescent="0.65">
      <c r="A7" s="57" t="s">
        <v>26</v>
      </c>
      <c r="B7" s="57" t="s">
        <v>27</v>
      </c>
      <c r="C7" s="57" t="s">
        <v>28</v>
      </c>
      <c r="D7" s="57" t="s">
        <v>29</v>
      </c>
      <c r="E7" s="45">
        <v>24</v>
      </c>
      <c r="F7" s="57" t="s">
        <v>25</v>
      </c>
      <c r="G7" s="62">
        <v>45397</v>
      </c>
      <c r="H7" s="57">
        <f>COUNTIF(tbl_employee[employee_id],tbl_employee[[#This Row],[employee_id]])</f>
        <v>1</v>
      </c>
      <c r="I7" s="57">
        <f>YEAR(tbl_employee[[#This Row],[join_date]])</f>
        <v>2024</v>
      </c>
    </row>
    <row r="8" spans="1:9" ht="19.8" x14ac:dyDescent="0.65">
      <c r="A8" s="57" t="s">
        <v>30</v>
      </c>
      <c r="B8" s="57" t="s">
        <v>31</v>
      </c>
      <c r="C8" s="57" t="s">
        <v>32</v>
      </c>
      <c r="D8" s="57" t="s">
        <v>33</v>
      </c>
      <c r="E8" s="45">
        <v>34</v>
      </c>
      <c r="F8" s="57" t="s">
        <v>11</v>
      </c>
      <c r="G8" s="62">
        <v>45734</v>
      </c>
      <c r="H8" s="57">
        <f>COUNTIF(tbl_employee[employee_id],tbl_employee[[#This Row],[employee_id]])</f>
        <v>1</v>
      </c>
      <c r="I8" s="57">
        <f>YEAR(tbl_employee[[#This Row],[join_date]])</f>
        <v>2025</v>
      </c>
    </row>
    <row r="9" spans="1:9" ht="19.8" x14ac:dyDescent="0.65">
      <c r="A9" s="57" t="s">
        <v>34</v>
      </c>
      <c r="B9" s="57" t="s">
        <v>35</v>
      </c>
      <c r="C9" s="57" t="s">
        <v>36</v>
      </c>
      <c r="D9" s="57" t="s">
        <v>37</v>
      </c>
      <c r="E9" s="45">
        <v>27</v>
      </c>
      <c r="F9" s="57" t="s">
        <v>11</v>
      </c>
      <c r="G9" s="62">
        <v>45457</v>
      </c>
      <c r="H9" s="57">
        <f>COUNTIF(tbl_employee[employee_id],tbl_employee[[#This Row],[employee_id]])</f>
        <v>1</v>
      </c>
      <c r="I9" s="57">
        <f>YEAR(tbl_employee[[#This Row],[join_date]])</f>
        <v>2024</v>
      </c>
    </row>
    <row r="10" spans="1:9" ht="19.8" x14ac:dyDescent="0.65">
      <c r="A10" s="57" t="s">
        <v>38</v>
      </c>
      <c r="B10" s="57" t="s">
        <v>39</v>
      </c>
      <c r="C10" s="57" t="s">
        <v>40</v>
      </c>
      <c r="D10" s="57" t="s">
        <v>33</v>
      </c>
      <c r="E10" s="45">
        <v>37</v>
      </c>
      <c r="F10" s="57" t="s">
        <v>11</v>
      </c>
      <c r="G10" s="62">
        <v>43675</v>
      </c>
      <c r="H10" s="57">
        <f>COUNTIF(tbl_employee[employee_id],tbl_employee[[#This Row],[employee_id]])</f>
        <v>1</v>
      </c>
      <c r="I10" s="57">
        <f>YEAR(tbl_employee[[#This Row],[join_date]])</f>
        <v>2019</v>
      </c>
    </row>
    <row r="11" spans="1:9" ht="19.8" x14ac:dyDescent="0.65">
      <c r="A11" s="57" t="s">
        <v>41</v>
      </c>
      <c r="B11" s="57" t="s">
        <v>42</v>
      </c>
      <c r="C11" s="57" t="s">
        <v>43</v>
      </c>
      <c r="D11" s="57" t="s">
        <v>18</v>
      </c>
      <c r="E11" s="45">
        <v>36</v>
      </c>
      <c r="F11" s="57" t="s">
        <v>11</v>
      </c>
      <c r="G11" s="62">
        <v>45176</v>
      </c>
      <c r="H11" s="57">
        <f>COUNTIF(tbl_employee[employee_id],tbl_employee[[#This Row],[employee_id]])</f>
        <v>1</v>
      </c>
      <c r="I11" s="57">
        <f>YEAR(tbl_employee[[#This Row],[join_date]])</f>
        <v>2023</v>
      </c>
    </row>
    <row r="12" spans="1:9" ht="19.8" x14ac:dyDescent="0.65">
      <c r="A12" s="57" t="s">
        <v>44</v>
      </c>
      <c r="B12" s="57" t="s">
        <v>45</v>
      </c>
      <c r="C12" s="57" t="s">
        <v>14</v>
      </c>
      <c r="D12" s="57" t="s">
        <v>10</v>
      </c>
      <c r="E12" s="45">
        <v>27</v>
      </c>
      <c r="F12" s="57" t="s">
        <v>11</v>
      </c>
      <c r="G12" s="62">
        <v>43236</v>
      </c>
      <c r="H12" s="57">
        <f>COUNTIF(tbl_employee[employee_id],tbl_employee[[#This Row],[employee_id]])</f>
        <v>1</v>
      </c>
      <c r="I12" s="57">
        <f>YEAR(tbl_employee[[#This Row],[join_date]])</f>
        <v>2018</v>
      </c>
    </row>
    <row r="13" spans="1:9" ht="19.8" x14ac:dyDescent="0.65">
      <c r="A13" s="57" t="s">
        <v>46</v>
      </c>
      <c r="B13" s="57" t="s">
        <v>47</v>
      </c>
      <c r="C13" s="57" t="s">
        <v>43</v>
      </c>
      <c r="D13" s="57" t="s">
        <v>18</v>
      </c>
      <c r="E13" s="45">
        <v>36</v>
      </c>
      <c r="F13" s="57" t="s">
        <v>11</v>
      </c>
      <c r="G13" s="62">
        <v>43469</v>
      </c>
      <c r="H13" s="57">
        <f>COUNTIF(tbl_employee[employee_id],tbl_employee[[#This Row],[employee_id]])</f>
        <v>1</v>
      </c>
      <c r="I13" s="57">
        <f>YEAR(tbl_employee[[#This Row],[join_date]])</f>
        <v>2019</v>
      </c>
    </row>
    <row r="14" spans="1:9" ht="19.8" x14ac:dyDescent="0.65">
      <c r="A14" s="57" t="s">
        <v>48</v>
      </c>
      <c r="B14" s="57" t="s">
        <v>49</v>
      </c>
      <c r="C14" s="57" t="s">
        <v>50</v>
      </c>
      <c r="D14" s="57" t="s">
        <v>37</v>
      </c>
      <c r="E14" s="45">
        <v>22</v>
      </c>
      <c r="F14" s="57" t="s">
        <v>25</v>
      </c>
      <c r="G14" s="62">
        <v>45425</v>
      </c>
      <c r="H14" s="57">
        <f>COUNTIF(tbl_employee[employee_id],tbl_employee[[#This Row],[employee_id]])</f>
        <v>1</v>
      </c>
      <c r="I14" s="57">
        <f>YEAR(tbl_employee[[#This Row],[join_date]])</f>
        <v>2024</v>
      </c>
    </row>
    <row r="15" spans="1:9" ht="19.8" x14ac:dyDescent="0.65">
      <c r="A15" s="57" t="s">
        <v>51</v>
      </c>
      <c r="B15" s="57" t="s">
        <v>52</v>
      </c>
      <c r="C15" s="57" t="s">
        <v>17</v>
      </c>
      <c r="D15" s="57" t="s">
        <v>18</v>
      </c>
      <c r="E15" s="45">
        <v>26</v>
      </c>
      <c r="F15" s="57" t="s">
        <v>11</v>
      </c>
      <c r="G15" s="62">
        <v>43376</v>
      </c>
      <c r="H15" s="57">
        <f>COUNTIF(tbl_employee[employee_id],tbl_employee[[#This Row],[employee_id]])</f>
        <v>1</v>
      </c>
      <c r="I15" s="57">
        <f>YEAR(tbl_employee[[#This Row],[join_date]])</f>
        <v>2018</v>
      </c>
    </row>
    <row r="16" spans="1:9" ht="19.8" x14ac:dyDescent="0.65">
      <c r="A16" s="57" t="s">
        <v>53</v>
      </c>
      <c r="B16" s="57" t="s">
        <v>54</v>
      </c>
      <c r="C16" s="57" t="s">
        <v>17</v>
      </c>
      <c r="D16" s="57" t="s">
        <v>18</v>
      </c>
      <c r="E16" s="45">
        <v>23</v>
      </c>
      <c r="F16" s="57" t="s">
        <v>11</v>
      </c>
      <c r="G16" s="62">
        <v>43198</v>
      </c>
      <c r="H16" s="57">
        <f>COUNTIF(tbl_employee[employee_id],tbl_employee[[#This Row],[employee_id]])</f>
        <v>1</v>
      </c>
      <c r="I16" s="57">
        <f>YEAR(tbl_employee[[#This Row],[join_date]])</f>
        <v>2018</v>
      </c>
    </row>
    <row r="17" spans="1:9" ht="19.8" x14ac:dyDescent="0.65">
      <c r="A17" s="57" t="s">
        <v>55</v>
      </c>
      <c r="B17" s="57" t="s">
        <v>56</v>
      </c>
      <c r="C17" s="57" t="s">
        <v>57</v>
      </c>
      <c r="D17" s="57" t="s">
        <v>22</v>
      </c>
      <c r="E17" s="45">
        <v>27</v>
      </c>
      <c r="F17" s="57" t="s">
        <v>11</v>
      </c>
      <c r="G17" s="62">
        <v>45283</v>
      </c>
      <c r="H17" s="57">
        <f>COUNTIF(tbl_employee[employee_id],tbl_employee[[#This Row],[employee_id]])</f>
        <v>1</v>
      </c>
      <c r="I17" s="57">
        <f>YEAR(tbl_employee[[#This Row],[join_date]])</f>
        <v>2023</v>
      </c>
    </row>
    <row r="18" spans="1:9" ht="19.8" x14ac:dyDescent="0.65">
      <c r="A18" s="57" t="s">
        <v>58</v>
      </c>
      <c r="B18" s="57" t="s">
        <v>59</v>
      </c>
      <c r="C18" s="57" t="s">
        <v>60</v>
      </c>
      <c r="D18" s="57" t="s">
        <v>61</v>
      </c>
      <c r="E18" s="45">
        <v>33</v>
      </c>
      <c r="F18" s="57" t="s">
        <v>25</v>
      </c>
      <c r="G18" s="62">
        <v>43322</v>
      </c>
      <c r="H18" s="57">
        <f>COUNTIF(tbl_employee[employee_id],tbl_employee[[#This Row],[employee_id]])</f>
        <v>1</v>
      </c>
      <c r="I18" s="57">
        <f>YEAR(tbl_employee[[#This Row],[join_date]])</f>
        <v>2018</v>
      </c>
    </row>
    <row r="19" spans="1:9" ht="19.8" x14ac:dyDescent="0.65">
      <c r="A19" s="57" t="s">
        <v>62</v>
      </c>
      <c r="B19" s="57" t="s">
        <v>63</v>
      </c>
      <c r="C19" s="57" t="s">
        <v>32</v>
      </c>
      <c r="D19" s="57" t="s">
        <v>33</v>
      </c>
      <c r="E19" s="45">
        <v>30</v>
      </c>
      <c r="F19" s="57" t="s">
        <v>11</v>
      </c>
      <c r="G19" s="62">
        <v>45938</v>
      </c>
      <c r="H19" s="57">
        <f>COUNTIF(tbl_employee[employee_id],tbl_employee[[#This Row],[employee_id]])</f>
        <v>1</v>
      </c>
      <c r="I19" s="57">
        <f>YEAR(tbl_employee[[#This Row],[join_date]])</f>
        <v>2025</v>
      </c>
    </row>
    <row r="20" spans="1:9" ht="19.8" x14ac:dyDescent="0.65">
      <c r="A20" s="57" t="s">
        <v>64</v>
      </c>
      <c r="B20" s="57" t="s">
        <v>65</v>
      </c>
      <c r="C20" s="57" t="s">
        <v>66</v>
      </c>
      <c r="D20" s="57" t="s">
        <v>29</v>
      </c>
      <c r="E20" s="45">
        <v>37</v>
      </c>
      <c r="F20" s="57" t="s">
        <v>11</v>
      </c>
      <c r="G20" s="62">
        <v>44468</v>
      </c>
      <c r="H20" s="57">
        <f>COUNTIF(tbl_employee[employee_id],tbl_employee[[#This Row],[employee_id]])</f>
        <v>1</v>
      </c>
      <c r="I20" s="57">
        <f>YEAR(tbl_employee[[#This Row],[join_date]])</f>
        <v>2021</v>
      </c>
    </row>
    <row r="21" spans="1:9" ht="19.8" x14ac:dyDescent="0.65">
      <c r="A21" s="57" t="s">
        <v>67</v>
      </c>
      <c r="B21" s="57" t="s">
        <v>68</v>
      </c>
      <c r="C21" s="57" t="s">
        <v>9</v>
      </c>
      <c r="D21" s="57" t="s">
        <v>10</v>
      </c>
      <c r="E21" s="45">
        <v>41</v>
      </c>
      <c r="F21" s="57" t="s">
        <v>25</v>
      </c>
      <c r="G21" s="62">
        <v>45487</v>
      </c>
      <c r="H21" s="57">
        <f>COUNTIF(tbl_employee[employee_id],tbl_employee[[#This Row],[employee_id]])</f>
        <v>1</v>
      </c>
      <c r="I21" s="57">
        <f>YEAR(tbl_employee[[#This Row],[join_date]])</f>
        <v>2024</v>
      </c>
    </row>
    <row r="22" spans="1:9" ht="19.8" x14ac:dyDescent="0.65">
      <c r="A22" s="57" t="s">
        <v>69</v>
      </c>
      <c r="B22" s="57" t="s">
        <v>70</v>
      </c>
      <c r="C22" s="57" t="s">
        <v>71</v>
      </c>
      <c r="D22" s="57" t="s">
        <v>33</v>
      </c>
      <c r="E22" s="45">
        <v>31</v>
      </c>
      <c r="F22" s="57" t="s">
        <v>11</v>
      </c>
      <c r="G22" s="62">
        <v>44114</v>
      </c>
      <c r="H22" s="57">
        <f>COUNTIF(tbl_employee[employee_id],tbl_employee[[#This Row],[employee_id]])</f>
        <v>1</v>
      </c>
      <c r="I22" s="57">
        <f>YEAR(tbl_employee[[#This Row],[join_date]])</f>
        <v>2020</v>
      </c>
    </row>
    <row r="23" spans="1:9" ht="19.8" x14ac:dyDescent="0.65">
      <c r="A23" s="57" t="s">
        <v>72</v>
      </c>
      <c r="B23" s="57" t="s">
        <v>73</v>
      </c>
      <c r="C23" s="57" t="s">
        <v>17</v>
      </c>
      <c r="D23" s="57" t="s">
        <v>18</v>
      </c>
      <c r="E23" s="45">
        <v>28</v>
      </c>
      <c r="F23" s="57" t="s">
        <v>11</v>
      </c>
      <c r="G23" s="62">
        <v>43083</v>
      </c>
      <c r="H23" s="57">
        <f>COUNTIF(tbl_employee[employee_id],tbl_employee[[#This Row],[employee_id]])</f>
        <v>1</v>
      </c>
      <c r="I23" s="57">
        <f>YEAR(tbl_employee[[#This Row],[join_date]])</f>
        <v>2017</v>
      </c>
    </row>
    <row r="24" spans="1:9" ht="19.8" x14ac:dyDescent="0.65">
      <c r="A24" s="57" t="s">
        <v>74</v>
      </c>
      <c r="B24" s="57" t="s">
        <v>75</v>
      </c>
      <c r="C24" s="57" t="s">
        <v>14</v>
      </c>
      <c r="D24" s="57" t="s">
        <v>10</v>
      </c>
      <c r="E24" s="45">
        <v>22</v>
      </c>
      <c r="F24" s="57" t="s">
        <v>25</v>
      </c>
      <c r="G24" s="62">
        <v>45756</v>
      </c>
      <c r="H24" s="57">
        <f>COUNTIF(tbl_employee[employee_id],tbl_employee[[#This Row],[employee_id]])</f>
        <v>1</v>
      </c>
      <c r="I24" s="57">
        <f>YEAR(tbl_employee[[#This Row],[join_date]])</f>
        <v>2025</v>
      </c>
    </row>
    <row r="25" spans="1:9" ht="19.8" x14ac:dyDescent="0.65">
      <c r="A25" s="57" t="s">
        <v>76</v>
      </c>
      <c r="B25" s="57" t="s">
        <v>77</v>
      </c>
      <c r="C25" s="57" t="s">
        <v>28</v>
      </c>
      <c r="D25" s="57" t="s">
        <v>29</v>
      </c>
      <c r="E25" s="45">
        <v>29</v>
      </c>
      <c r="F25" s="57" t="s">
        <v>11</v>
      </c>
      <c r="G25" s="62">
        <v>44127</v>
      </c>
      <c r="H25" s="57">
        <f>COUNTIF(tbl_employee[employee_id],tbl_employee[[#This Row],[employee_id]])</f>
        <v>1</v>
      </c>
      <c r="I25" s="57">
        <f>YEAR(tbl_employee[[#This Row],[join_date]])</f>
        <v>2020</v>
      </c>
    </row>
    <row r="26" spans="1:9" ht="19.8" x14ac:dyDescent="0.65">
      <c r="A26" s="57" t="s">
        <v>78</v>
      </c>
      <c r="B26" s="57" t="s">
        <v>79</v>
      </c>
      <c r="C26" s="57" t="s">
        <v>80</v>
      </c>
      <c r="D26" s="57" t="s">
        <v>61</v>
      </c>
      <c r="E26" s="45">
        <v>25</v>
      </c>
      <c r="F26" s="57" t="s">
        <v>25</v>
      </c>
      <c r="G26" s="62">
        <v>45473</v>
      </c>
      <c r="H26" s="57">
        <f>COUNTIF(tbl_employee[employee_id],tbl_employee[[#This Row],[employee_id]])</f>
        <v>1</v>
      </c>
      <c r="I26" s="57">
        <f>YEAR(tbl_employee[[#This Row],[join_date]])</f>
        <v>2024</v>
      </c>
    </row>
    <row r="27" spans="1:9" ht="19.8" x14ac:dyDescent="0.65">
      <c r="A27" s="57" t="s">
        <v>81</v>
      </c>
      <c r="B27" s="57" t="s">
        <v>82</v>
      </c>
      <c r="C27" s="57" t="s">
        <v>83</v>
      </c>
      <c r="D27" s="57" t="s">
        <v>22</v>
      </c>
      <c r="E27" s="45">
        <v>39</v>
      </c>
      <c r="F27" s="57" t="s">
        <v>25</v>
      </c>
      <c r="G27" s="62">
        <v>45032</v>
      </c>
      <c r="H27" s="57">
        <f>COUNTIF(tbl_employee[employee_id],tbl_employee[[#This Row],[employee_id]])</f>
        <v>1</v>
      </c>
      <c r="I27" s="57">
        <f>YEAR(tbl_employee[[#This Row],[join_date]])</f>
        <v>2023</v>
      </c>
    </row>
    <row r="28" spans="1:9" ht="19.8" x14ac:dyDescent="0.65">
      <c r="A28" s="57" t="s">
        <v>84</v>
      </c>
      <c r="B28" s="57" t="s">
        <v>85</v>
      </c>
      <c r="C28" s="57" t="s">
        <v>14</v>
      </c>
      <c r="D28" s="57" t="s">
        <v>10</v>
      </c>
      <c r="E28" s="45">
        <v>32</v>
      </c>
      <c r="F28" s="57" t="s">
        <v>25</v>
      </c>
      <c r="G28" s="62">
        <v>45755</v>
      </c>
      <c r="H28" s="57">
        <f>COUNTIF(tbl_employee[employee_id],tbl_employee[[#This Row],[employee_id]])</f>
        <v>1</v>
      </c>
      <c r="I28" s="57">
        <f>YEAR(tbl_employee[[#This Row],[join_date]])</f>
        <v>2025</v>
      </c>
    </row>
    <row r="29" spans="1:9" ht="19.8" x14ac:dyDescent="0.65">
      <c r="A29" s="57" t="s">
        <v>86</v>
      </c>
      <c r="B29" s="57" t="s">
        <v>87</v>
      </c>
      <c r="C29" s="57" t="s">
        <v>88</v>
      </c>
      <c r="D29" s="57" t="s">
        <v>29</v>
      </c>
      <c r="E29" s="45">
        <v>41</v>
      </c>
      <c r="F29" s="57" t="s">
        <v>25</v>
      </c>
      <c r="G29" s="62">
        <v>44634</v>
      </c>
      <c r="H29" s="57">
        <f>COUNTIF(tbl_employee[employee_id],tbl_employee[[#This Row],[employee_id]])</f>
        <v>1</v>
      </c>
      <c r="I29" s="57">
        <f>YEAR(tbl_employee[[#This Row],[join_date]])</f>
        <v>2022</v>
      </c>
    </row>
    <row r="30" spans="1:9" ht="19.8" x14ac:dyDescent="0.65">
      <c r="A30" s="57" t="s">
        <v>89</v>
      </c>
      <c r="B30" s="57" t="s">
        <v>90</v>
      </c>
      <c r="C30" s="57" t="s">
        <v>9</v>
      </c>
      <c r="D30" s="57" t="s">
        <v>10</v>
      </c>
      <c r="E30" s="45">
        <v>45</v>
      </c>
      <c r="F30" s="57" t="s">
        <v>25</v>
      </c>
      <c r="G30" s="62">
        <v>45625</v>
      </c>
      <c r="H30" s="57">
        <f>COUNTIF(tbl_employee[employee_id],tbl_employee[[#This Row],[employee_id]])</f>
        <v>1</v>
      </c>
      <c r="I30" s="57">
        <f>YEAR(tbl_employee[[#This Row],[join_date]])</f>
        <v>2024</v>
      </c>
    </row>
    <row r="31" spans="1:9" ht="19.8" x14ac:dyDescent="0.65">
      <c r="A31" s="57" t="s">
        <v>91</v>
      </c>
      <c r="B31" s="57" t="s">
        <v>92</v>
      </c>
      <c r="C31" s="57" t="s">
        <v>71</v>
      </c>
      <c r="D31" s="57" t="s">
        <v>33</v>
      </c>
      <c r="E31" s="45">
        <v>31</v>
      </c>
      <c r="F31" s="57" t="s">
        <v>25</v>
      </c>
      <c r="G31" s="62">
        <v>44058</v>
      </c>
      <c r="H31" s="57">
        <f>COUNTIF(tbl_employee[employee_id],tbl_employee[[#This Row],[employee_id]])</f>
        <v>1</v>
      </c>
      <c r="I31" s="57">
        <f>YEAR(tbl_employee[[#This Row],[join_date]])</f>
        <v>2020</v>
      </c>
    </row>
    <row r="32" spans="1:9" ht="19.8" x14ac:dyDescent="0.65">
      <c r="A32" s="57" t="s">
        <v>93</v>
      </c>
      <c r="B32" s="57" t="s">
        <v>94</v>
      </c>
      <c r="C32" s="57" t="s">
        <v>32</v>
      </c>
      <c r="D32" s="57" t="s">
        <v>33</v>
      </c>
      <c r="E32" s="45">
        <v>29</v>
      </c>
      <c r="F32" s="57" t="s">
        <v>25</v>
      </c>
      <c r="G32" s="62">
        <v>42660</v>
      </c>
      <c r="H32" s="57">
        <f>COUNTIF(tbl_employee[employee_id],tbl_employee[[#This Row],[employee_id]])</f>
        <v>1</v>
      </c>
      <c r="I32" s="57">
        <f>YEAR(tbl_employee[[#This Row],[join_date]])</f>
        <v>2016</v>
      </c>
    </row>
    <row r="33" spans="1:9" ht="19.8" x14ac:dyDescent="0.65">
      <c r="A33" s="57" t="s">
        <v>95</v>
      </c>
      <c r="B33" s="57" t="s">
        <v>96</v>
      </c>
      <c r="C33" s="57" t="s">
        <v>97</v>
      </c>
      <c r="D33" s="57" t="s">
        <v>37</v>
      </c>
      <c r="E33" s="45">
        <v>26</v>
      </c>
      <c r="F33" s="57" t="s">
        <v>25</v>
      </c>
      <c r="G33" s="62">
        <v>45487</v>
      </c>
      <c r="H33" s="57">
        <f>COUNTIF(tbl_employee[employee_id],tbl_employee[[#This Row],[employee_id]])</f>
        <v>1</v>
      </c>
      <c r="I33" s="57">
        <f>YEAR(tbl_employee[[#This Row],[join_date]])</f>
        <v>2024</v>
      </c>
    </row>
    <row r="34" spans="1:9" ht="19.8" x14ac:dyDescent="0.65">
      <c r="A34" s="57" t="s">
        <v>98</v>
      </c>
      <c r="B34" s="57" t="s">
        <v>99</v>
      </c>
      <c r="C34" s="57" t="s">
        <v>36</v>
      </c>
      <c r="D34" s="57" t="s">
        <v>37</v>
      </c>
      <c r="E34" s="45">
        <v>33</v>
      </c>
      <c r="F34" s="57" t="s">
        <v>11</v>
      </c>
      <c r="G34" s="62">
        <v>44423</v>
      </c>
      <c r="H34" s="57">
        <f>COUNTIF(tbl_employee[employee_id],tbl_employee[[#This Row],[employee_id]])</f>
        <v>1</v>
      </c>
      <c r="I34" s="57">
        <f>YEAR(tbl_employee[[#This Row],[join_date]])</f>
        <v>2021</v>
      </c>
    </row>
    <row r="35" spans="1:9" ht="19.8" x14ac:dyDescent="0.65">
      <c r="A35" s="57" t="s">
        <v>100</v>
      </c>
      <c r="B35" s="57" t="s">
        <v>101</v>
      </c>
      <c r="C35" s="57" t="s">
        <v>102</v>
      </c>
      <c r="D35" s="57" t="s">
        <v>37</v>
      </c>
      <c r="E35" s="45">
        <v>38</v>
      </c>
      <c r="F35" s="57" t="s">
        <v>25</v>
      </c>
      <c r="G35" s="62">
        <v>45179</v>
      </c>
      <c r="H35" s="57">
        <f>COUNTIF(tbl_employee[employee_id],tbl_employee[[#This Row],[employee_id]])</f>
        <v>1</v>
      </c>
      <c r="I35" s="57">
        <f>YEAR(tbl_employee[[#This Row],[join_date]])</f>
        <v>2023</v>
      </c>
    </row>
    <row r="36" spans="1:9" ht="19.8" x14ac:dyDescent="0.65">
      <c r="A36" s="57" t="s">
        <v>103</v>
      </c>
      <c r="B36" s="57" t="s">
        <v>104</v>
      </c>
      <c r="C36" s="57" t="s">
        <v>71</v>
      </c>
      <c r="D36" s="57" t="s">
        <v>33</v>
      </c>
      <c r="E36" s="45">
        <v>24</v>
      </c>
      <c r="F36" s="57" t="s">
        <v>11</v>
      </c>
      <c r="G36" s="62">
        <v>44098</v>
      </c>
      <c r="H36" s="57">
        <f>COUNTIF(tbl_employee[employee_id],tbl_employee[[#This Row],[employee_id]])</f>
        <v>1</v>
      </c>
      <c r="I36" s="57">
        <f>YEAR(tbl_employee[[#This Row],[join_date]])</f>
        <v>2020</v>
      </c>
    </row>
    <row r="37" spans="1:9" ht="19.8" x14ac:dyDescent="0.65">
      <c r="A37" s="57" t="s">
        <v>105</v>
      </c>
      <c r="B37" s="57" t="s">
        <v>106</v>
      </c>
      <c r="C37" s="57" t="s">
        <v>28</v>
      </c>
      <c r="D37" s="57" t="s">
        <v>29</v>
      </c>
      <c r="E37" s="45">
        <v>25</v>
      </c>
      <c r="F37" s="57" t="s">
        <v>25</v>
      </c>
      <c r="G37" s="62">
        <v>45941</v>
      </c>
      <c r="H37" s="57">
        <f>COUNTIF(tbl_employee[employee_id],tbl_employee[[#This Row],[employee_id]])</f>
        <v>1</v>
      </c>
      <c r="I37" s="57">
        <f>YEAR(tbl_employee[[#This Row],[join_date]])</f>
        <v>2025</v>
      </c>
    </row>
    <row r="38" spans="1:9" ht="19.8" x14ac:dyDescent="0.65">
      <c r="A38" s="57" t="s">
        <v>107</v>
      </c>
      <c r="B38" s="57" t="s">
        <v>108</v>
      </c>
      <c r="C38" s="57" t="s">
        <v>50</v>
      </c>
      <c r="D38" s="57" t="s">
        <v>37</v>
      </c>
      <c r="E38" s="45">
        <v>22</v>
      </c>
      <c r="F38" s="57" t="s">
        <v>25</v>
      </c>
      <c r="G38" s="62">
        <v>45925</v>
      </c>
      <c r="H38" s="57">
        <f>COUNTIF(tbl_employee[employee_id],tbl_employee[[#This Row],[employee_id]])</f>
        <v>1</v>
      </c>
      <c r="I38" s="57">
        <f>YEAR(tbl_employee[[#This Row],[join_date]])</f>
        <v>2025</v>
      </c>
    </row>
    <row r="39" spans="1:9" ht="19.8" x14ac:dyDescent="0.65">
      <c r="A39" s="57" t="s">
        <v>109</v>
      </c>
      <c r="B39" s="57" t="s">
        <v>110</v>
      </c>
      <c r="C39" s="57" t="s">
        <v>111</v>
      </c>
      <c r="D39" s="57" t="s">
        <v>18</v>
      </c>
      <c r="E39" s="45">
        <v>34</v>
      </c>
      <c r="F39" s="57" t="s">
        <v>11</v>
      </c>
      <c r="G39" s="62">
        <v>43597</v>
      </c>
      <c r="H39" s="57">
        <f>COUNTIF(tbl_employee[employee_id],tbl_employee[[#This Row],[employee_id]])</f>
        <v>1</v>
      </c>
      <c r="I39" s="57">
        <f>YEAR(tbl_employee[[#This Row],[join_date]])</f>
        <v>2019</v>
      </c>
    </row>
    <row r="40" spans="1:9" ht="19.8" x14ac:dyDescent="0.65">
      <c r="A40" s="57" t="s">
        <v>112</v>
      </c>
      <c r="B40" s="57" t="s">
        <v>113</v>
      </c>
      <c r="C40" s="57" t="s">
        <v>14</v>
      </c>
      <c r="D40" s="57" t="s">
        <v>10</v>
      </c>
      <c r="E40" s="45">
        <v>33</v>
      </c>
      <c r="F40" s="57" t="s">
        <v>11</v>
      </c>
      <c r="G40" s="62">
        <v>45532</v>
      </c>
      <c r="H40" s="57">
        <f>COUNTIF(tbl_employee[employee_id],tbl_employee[[#This Row],[employee_id]])</f>
        <v>1</v>
      </c>
      <c r="I40" s="57">
        <f>YEAR(tbl_employee[[#This Row],[join_date]])</f>
        <v>2024</v>
      </c>
    </row>
    <row r="41" spans="1:9" ht="19.8" x14ac:dyDescent="0.65">
      <c r="A41" s="57" t="s">
        <v>114</v>
      </c>
      <c r="B41" s="57" t="s">
        <v>115</v>
      </c>
      <c r="C41" s="57" t="s">
        <v>57</v>
      </c>
      <c r="D41" s="57" t="s">
        <v>22</v>
      </c>
      <c r="E41" s="45">
        <v>33</v>
      </c>
      <c r="F41" s="57" t="s">
        <v>25</v>
      </c>
      <c r="G41" s="62">
        <v>45488</v>
      </c>
      <c r="H41" s="57">
        <f>COUNTIF(tbl_employee[employee_id],tbl_employee[[#This Row],[employee_id]])</f>
        <v>1</v>
      </c>
      <c r="I41" s="57">
        <f>YEAR(tbl_employee[[#This Row],[join_date]])</f>
        <v>2024</v>
      </c>
    </row>
    <row r="42" spans="1:9" ht="19.8" x14ac:dyDescent="0.65">
      <c r="A42" s="57" t="s">
        <v>116</v>
      </c>
      <c r="B42" s="57" t="s">
        <v>117</v>
      </c>
      <c r="C42" s="57" t="s">
        <v>83</v>
      </c>
      <c r="D42" s="57" t="s">
        <v>22</v>
      </c>
      <c r="E42" s="45">
        <v>25</v>
      </c>
      <c r="F42" s="57" t="s">
        <v>25</v>
      </c>
      <c r="G42" s="62">
        <v>44817</v>
      </c>
      <c r="H42" s="57">
        <f>COUNTIF(tbl_employee[employee_id],tbl_employee[[#This Row],[employee_id]])</f>
        <v>1</v>
      </c>
      <c r="I42" s="57">
        <f>YEAR(tbl_employee[[#This Row],[join_date]])</f>
        <v>2022</v>
      </c>
    </row>
    <row r="43" spans="1:9" ht="19.8" x14ac:dyDescent="0.65">
      <c r="A43" s="57" t="s">
        <v>118</v>
      </c>
      <c r="B43" s="57" t="s">
        <v>119</v>
      </c>
      <c r="C43" s="57" t="s">
        <v>111</v>
      </c>
      <c r="D43" s="57" t="s">
        <v>18</v>
      </c>
      <c r="E43" s="45">
        <v>25</v>
      </c>
      <c r="F43" s="57" t="s">
        <v>11</v>
      </c>
      <c r="G43" s="62">
        <v>45579</v>
      </c>
      <c r="H43" s="57">
        <f>COUNTIF(tbl_employee[employee_id],tbl_employee[[#This Row],[employee_id]])</f>
        <v>1</v>
      </c>
      <c r="I43" s="57">
        <f>YEAR(tbl_employee[[#This Row],[join_date]])</f>
        <v>2024</v>
      </c>
    </row>
    <row r="44" spans="1:9" ht="19.8" x14ac:dyDescent="0.65">
      <c r="A44" s="57" t="s">
        <v>120</v>
      </c>
      <c r="B44" s="57" t="s">
        <v>121</v>
      </c>
      <c r="C44" s="57" t="s">
        <v>57</v>
      </c>
      <c r="D44" s="57" t="s">
        <v>22</v>
      </c>
      <c r="E44" s="45">
        <v>30</v>
      </c>
      <c r="F44" s="57" t="s">
        <v>25</v>
      </c>
      <c r="G44" s="62">
        <v>45949</v>
      </c>
      <c r="H44" s="57">
        <f>COUNTIF(tbl_employee[employee_id],tbl_employee[[#This Row],[employee_id]])</f>
        <v>1</v>
      </c>
      <c r="I44" s="57">
        <f>YEAR(tbl_employee[[#This Row],[join_date]])</f>
        <v>2025</v>
      </c>
    </row>
    <row r="45" spans="1:9" ht="19.8" x14ac:dyDescent="0.65">
      <c r="A45" s="57" t="s">
        <v>122</v>
      </c>
      <c r="B45" s="57" t="s">
        <v>123</v>
      </c>
      <c r="C45" s="57" t="s">
        <v>36</v>
      </c>
      <c r="D45" s="57" t="s">
        <v>37</v>
      </c>
      <c r="E45" s="45">
        <v>36</v>
      </c>
      <c r="F45" s="57" t="s">
        <v>11</v>
      </c>
      <c r="G45" s="62">
        <v>45751</v>
      </c>
      <c r="H45" s="57">
        <f>COUNTIF(tbl_employee[employee_id],tbl_employee[[#This Row],[employee_id]])</f>
        <v>1</v>
      </c>
      <c r="I45" s="57">
        <f>YEAR(tbl_employee[[#This Row],[join_date]])</f>
        <v>2025</v>
      </c>
    </row>
    <row r="46" spans="1:9" ht="19.8" x14ac:dyDescent="0.65">
      <c r="A46" s="57" t="s">
        <v>124</v>
      </c>
      <c r="B46" s="57" t="s">
        <v>125</v>
      </c>
      <c r="C46" s="57" t="s">
        <v>43</v>
      </c>
      <c r="D46" s="57" t="s">
        <v>18</v>
      </c>
      <c r="E46" s="45">
        <v>39</v>
      </c>
      <c r="F46" s="57" t="s">
        <v>11</v>
      </c>
      <c r="G46" s="62">
        <v>44997</v>
      </c>
      <c r="H46" s="57">
        <f>COUNTIF(tbl_employee[employee_id],tbl_employee[[#This Row],[employee_id]])</f>
        <v>1</v>
      </c>
      <c r="I46" s="57">
        <f>YEAR(tbl_employee[[#This Row],[join_date]])</f>
        <v>2023</v>
      </c>
    </row>
    <row r="47" spans="1:9" ht="19.8" x14ac:dyDescent="0.65">
      <c r="A47" s="57" t="s">
        <v>126</v>
      </c>
      <c r="B47" s="57" t="s">
        <v>127</v>
      </c>
      <c r="C47" s="57" t="s">
        <v>66</v>
      </c>
      <c r="D47" s="57" t="s">
        <v>29</v>
      </c>
      <c r="E47" s="45">
        <v>29</v>
      </c>
      <c r="F47" s="57" t="s">
        <v>11</v>
      </c>
      <c r="G47" s="62">
        <v>45268</v>
      </c>
      <c r="H47" s="57">
        <f>COUNTIF(tbl_employee[employee_id],tbl_employee[[#This Row],[employee_id]])</f>
        <v>1</v>
      </c>
      <c r="I47" s="57">
        <f>YEAR(tbl_employee[[#This Row],[join_date]])</f>
        <v>2023</v>
      </c>
    </row>
    <row r="48" spans="1:9" ht="19.8" x14ac:dyDescent="0.65">
      <c r="A48" s="57" t="s">
        <v>128</v>
      </c>
      <c r="B48" s="57" t="s">
        <v>129</v>
      </c>
      <c r="C48" s="57" t="s">
        <v>50</v>
      </c>
      <c r="D48" s="57" t="s">
        <v>37</v>
      </c>
      <c r="E48" s="45">
        <v>28</v>
      </c>
      <c r="F48" s="57" t="s">
        <v>11</v>
      </c>
      <c r="G48" s="62">
        <v>45311</v>
      </c>
      <c r="H48" s="57">
        <f>COUNTIF(tbl_employee[employee_id],tbl_employee[[#This Row],[employee_id]])</f>
        <v>1</v>
      </c>
      <c r="I48" s="57">
        <f>YEAR(tbl_employee[[#This Row],[join_date]])</f>
        <v>2024</v>
      </c>
    </row>
    <row r="49" spans="1:9" ht="19.8" x14ac:dyDescent="0.65">
      <c r="A49" s="57" t="s">
        <v>130</v>
      </c>
      <c r="B49" s="57" t="s">
        <v>131</v>
      </c>
      <c r="C49" s="57" t="s">
        <v>17</v>
      </c>
      <c r="D49" s="57" t="s">
        <v>18</v>
      </c>
      <c r="E49" s="45">
        <v>30</v>
      </c>
      <c r="F49" s="57" t="s">
        <v>25</v>
      </c>
      <c r="G49" s="62">
        <v>45421</v>
      </c>
      <c r="H49" s="57">
        <f>COUNTIF(tbl_employee[employee_id],tbl_employee[[#This Row],[employee_id]])</f>
        <v>1</v>
      </c>
      <c r="I49" s="57">
        <f>YEAR(tbl_employee[[#This Row],[join_date]])</f>
        <v>2024</v>
      </c>
    </row>
    <row r="50" spans="1:9" ht="19.8" x14ac:dyDescent="0.65">
      <c r="A50" s="57" t="s">
        <v>132</v>
      </c>
      <c r="B50" s="57" t="s">
        <v>133</v>
      </c>
      <c r="C50" s="57" t="s">
        <v>50</v>
      </c>
      <c r="D50" s="57" t="s">
        <v>37</v>
      </c>
      <c r="E50" s="45">
        <v>22</v>
      </c>
      <c r="F50" s="57" t="s">
        <v>11</v>
      </c>
      <c r="G50" s="62">
        <v>45324</v>
      </c>
      <c r="H50" s="57">
        <f>COUNTIF(tbl_employee[employee_id],tbl_employee[[#This Row],[employee_id]])</f>
        <v>1</v>
      </c>
      <c r="I50" s="57">
        <f>YEAR(tbl_employee[[#This Row],[join_date]])</f>
        <v>2024</v>
      </c>
    </row>
    <row r="51" spans="1:9" ht="19.8" x14ac:dyDescent="0.65">
      <c r="A51" s="57" t="s">
        <v>134</v>
      </c>
      <c r="B51" s="57" t="s">
        <v>135</v>
      </c>
      <c r="C51" s="57" t="s">
        <v>97</v>
      </c>
      <c r="D51" s="57" t="s">
        <v>37</v>
      </c>
      <c r="E51" s="45">
        <v>26</v>
      </c>
      <c r="F51" s="57" t="s">
        <v>25</v>
      </c>
      <c r="G51" s="62">
        <v>45605</v>
      </c>
      <c r="H51" s="57">
        <f>COUNTIF(tbl_employee[employee_id],tbl_employee[[#This Row],[employee_id]])</f>
        <v>1</v>
      </c>
      <c r="I51" s="57">
        <f>YEAR(tbl_employee[[#This Row],[join_date]])</f>
        <v>2024</v>
      </c>
    </row>
    <row r="52" spans="1:9" ht="19.8" x14ac:dyDescent="0.65">
      <c r="A52" s="57" t="s">
        <v>136</v>
      </c>
      <c r="B52" s="57" t="s">
        <v>137</v>
      </c>
      <c r="C52" s="57" t="s">
        <v>21</v>
      </c>
      <c r="D52" s="57" t="s">
        <v>22</v>
      </c>
      <c r="E52" s="45">
        <v>41</v>
      </c>
      <c r="F52" s="57" t="s">
        <v>11</v>
      </c>
      <c r="G52" s="62">
        <v>45937</v>
      </c>
      <c r="H52" s="57">
        <f>COUNTIF(tbl_employee[employee_id],tbl_employee[[#This Row],[employee_id]])</f>
        <v>1</v>
      </c>
      <c r="I52" s="57">
        <f>YEAR(tbl_employee[[#This Row],[join_date]])</f>
        <v>2025</v>
      </c>
    </row>
    <row r="53" spans="1:9" ht="19.8" x14ac:dyDescent="0.65">
      <c r="A53" s="57" t="s">
        <v>138</v>
      </c>
      <c r="B53" s="57" t="s">
        <v>139</v>
      </c>
      <c r="C53" s="57" t="s">
        <v>71</v>
      </c>
      <c r="D53" s="57" t="s">
        <v>33</v>
      </c>
      <c r="E53" s="45">
        <v>22</v>
      </c>
      <c r="F53" s="57" t="s">
        <v>25</v>
      </c>
      <c r="G53" s="62">
        <v>45689</v>
      </c>
      <c r="H53" s="57">
        <f>COUNTIF(tbl_employee[employee_id],tbl_employee[[#This Row],[employee_id]])</f>
        <v>1</v>
      </c>
      <c r="I53" s="57">
        <f>YEAR(tbl_employee[[#This Row],[join_date]])</f>
        <v>2025</v>
      </c>
    </row>
    <row r="54" spans="1:9" ht="19.8" x14ac:dyDescent="0.65">
      <c r="A54" s="57" t="s">
        <v>140</v>
      </c>
      <c r="B54" s="57" t="s">
        <v>141</v>
      </c>
      <c r="C54" s="57" t="s">
        <v>71</v>
      </c>
      <c r="D54" s="57" t="s">
        <v>33</v>
      </c>
      <c r="E54" s="45">
        <v>26</v>
      </c>
      <c r="F54" s="57" t="s">
        <v>11</v>
      </c>
      <c r="G54" s="62">
        <v>44554</v>
      </c>
      <c r="H54" s="57">
        <f>COUNTIF(tbl_employee[employee_id],tbl_employee[[#This Row],[employee_id]])</f>
        <v>1</v>
      </c>
      <c r="I54" s="57">
        <f>YEAR(tbl_employee[[#This Row],[join_date]])</f>
        <v>2021</v>
      </c>
    </row>
    <row r="55" spans="1:9" ht="19.8" x14ac:dyDescent="0.65">
      <c r="A55" s="57" t="s">
        <v>142</v>
      </c>
      <c r="B55" s="57" t="s">
        <v>143</v>
      </c>
      <c r="C55" s="57" t="s">
        <v>28</v>
      </c>
      <c r="D55" s="57" t="s">
        <v>29</v>
      </c>
      <c r="E55" s="45">
        <v>26</v>
      </c>
      <c r="F55" s="57" t="s">
        <v>11</v>
      </c>
      <c r="G55" s="62">
        <v>44397</v>
      </c>
      <c r="H55" s="57">
        <f>COUNTIF(tbl_employee[employee_id],tbl_employee[[#This Row],[employee_id]])</f>
        <v>1</v>
      </c>
      <c r="I55" s="57">
        <f>YEAR(tbl_employee[[#This Row],[join_date]])</f>
        <v>2021</v>
      </c>
    </row>
    <row r="56" spans="1:9" ht="19.8" x14ac:dyDescent="0.65">
      <c r="A56" s="57" t="s">
        <v>144</v>
      </c>
      <c r="B56" s="57" t="s">
        <v>145</v>
      </c>
      <c r="C56" s="57" t="s">
        <v>111</v>
      </c>
      <c r="D56" s="57" t="s">
        <v>18</v>
      </c>
      <c r="E56" s="45">
        <v>29</v>
      </c>
      <c r="F56" s="57" t="s">
        <v>25</v>
      </c>
      <c r="G56" s="62">
        <v>43612</v>
      </c>
      <c r="H56" s="57">
        <f>COUNTIF(tbl_employee[employee_id],tbl_employee[[#This Row],[employee_id]])</f>
        <v>1</v>
      </c>
      <c r="I56" s="57">
        <f>YEAR(tbl_employee[[#This Row],[join_date]])</f>
        <v>2019</v>
      </c>
    </row>
    <row r="57" spans="1:9" ht="19.8" x14ac:dyDescent="0.65">
      <c r="A57" s="57" t="s">
        <v>146</v>
      </c>
      <c r="B57" s="57" t="s">
        <v>147</v>
      </c>
      <c r="C57" s="57" t="s">
        <v>102</v>
      </c>
      <c r="D57" s="57" t="s">
        <v>37</v>
      </c>
      <c r="E57" s="45">
        <v>43</v>
      </c>
      <c r="F57" s="57" t="s">
        <v>11</v>
      </c>
      <c r="G57" s="62">
        <v>43889</v>
      </c>
      <c r="H57" s="57">
        <f>COUNTIF(tbl_employee[employee_id],tbl_employee[[#This Row],[employee_id]])</f>
        <v>1</v>
      </c>
      <c r="I57" s="57">
        <f>YEAR(tbl_employee[[#This Row],[join_date]])</f>
        <v>2020</v>
      </c>
    </row>
    <row r="58" spans="1:9" ht="19.8" x14ac:dyDescent="0.65">
      <c r="A58" s="57" t="s">
        <v>148</v>
      </c>
      <c r="B58" s="57" t="s">
        <v>149</v>
      </c>
      <c r="C58" s="57" t="s">
        <v>60</v>
      </c>
      <c r="D58" s="57" t="s">
        <v>61</v>
      </c>
      <c r="E58" s="45">
        <v>31</v>
      </c>
      <c r="F58" s="57" t="s">
        <v>25</v>
      </c>
      <c r="G58" s="62">
        <v>45220</v>
      </c>
      <c r="H58" s="57">
        <f>COUNTIF(tbl_employee[employee_id],tbl_employee[[#This Row],[employee_id]])</f>
        <v>1</v>
      </c>
      <c r="I58" s="57">
        <f>YEAR(tbl_employee[[#This Row],[join_date]])</f>
        <v>2023</v>
      </c>
    </row>
    <row r="59" spans="1:9" ht="19.8" x14ac:dyDescent="0.65">
      <c r="A59" s="57" t="s">
        <v>150</v>
      </c>
      <c r="B59" s="57" t="s">
        <v>151</v>
      </c>
      <c r="C59" s="57" t="s">
        <v>28</v>
      </c>
      <c r="D59" s="57" t="s">
        <v>29</v>
      </c>
      <c r="E59" s="45">
        <v>24</v>
      </c>
      <c r="F59" s="57" t="s">
        <v>25</v>
      </c>
      <c r="G59" s="62">
        <v>45863</v>
      </c>
      <c r="H59" s="57">
        <f>COUNTIF(tbl_employee[employee_id],tbl_employee[[#This Row],[employee_id]])</f>
        <v>1</v>
      </c>
      <c r="I59" s="57">
        <f>YEAR(tbl_employee[[#This Row],[join_date]])</f>
        <v>2025</v>
      </c>
    </row>
    <row r="60" spans="1:9" ht="19.8" x14ac:dyDescent="0.65">
      <c r="A60" s="57" t="s">
        <v>152</v>
      </c>
      <c r="B60" s="57" t="s">
        <v>153</v>
      </c>
      <c r="C60" s="57" t="s">
        <v>50</v>
      </c>
      <c r="D60" s="57" t="s">
        <v>37</v>
      </c>
      <c r="E60" s="45">
        <v>22</v>
      </c>
      <c r="F60" s="57" t="s">
        <v>11</v>
      </c>
      <c r="G60" s="62">
        <v>44504</v>
      </c>
      <c r="H60" s="57">
        <f>COUNTIF(tbl_employee[employee_id],tbl_employee[[#This Row],[employee_id]])</f>
        <v>1</v>
      </c>
      <c r="I60" s="57">
        <f>YEAR(tbl_employee[[#This Row],[join_date]])</f>
        <v>2021</v>
      </c>
    </row>
    <row r="61" spans="1:9" ht="19.8" x14ac:dyDescent="0.65">
      <c r="A61" s="57" t="s">
        <v>154</v>
      </c>
      <c r="B61" s="57" t="s">
        <v>155</v>
      </c>
      <c r="C61" s="57" t="s">
        <v>43</v>
      </c>
      <c r="D61" s="57" t="s">
        <v>18</v>
      </c>
      <c r="E61" s="45">
        <v>38</v>
      </c>
      <c r="F61" s="57" t="s">
        <v>25</v>
      </c>
      <c r="G61" s="62">
        <v>45585</v>
      </c>
      <c r="H61" s="57">
        <f>COUNTIF(tbl_employee[employee_id],tbl_employee[[#This Row],[employee_id]])</f>
        <v>1</v>
      </c>
      <c r="I61" s="57">
        <f>YEAR(tbl_employee[[#This Row],[join_date]])</f>
        <v>2024</v>
      </c>
    </row>
    <row r="62" spans="1:9" ht="19.8" x14ac:dyDescent="0.65">
      <c r="A62" s="57" t="s">
        <v>156</v>
      </c>
      <c r="B62" s="57" t="s">
        <v>157</v>
      </c>
      <c r="C62" s="57" t="s">
        <v>17</v>
      </c>
      <c r="D62" s="57" t="s">
        <v>18</v>
      </c>
      <c r="E62" s="45">
        <v>28</v>
      </c>
      <c r="F62" s="57" t="s">
        <v>25</v>
      </c>
      <c r="G62" s="62">
        <v>44823</v>
      </c>
      <c r="H62" s="57">
        <f>COUNTIF(tbl_employee[employee_id],tbl_employee[[#This Row],[employee_id]])</f>
        <v>1</v>
      </c>
      <c r="I62" s="57">
        <f>YEAR(tbl_employee[[#This Row],[join_date]])</f>
        <v>2022</v>
      </c>
    </row>
    <row r="63" spans="1:9" ht="19.8" x14ac:dyDescent="0.65">
      <c r="A63" s="57" t="s">
        <v>158</v>
      </c>
      <c r="B63" s="57" t="s">
        <v>159</v>
      </c>
      <c r="C63" s="57" t="s">
        <v>71</v>
      </c>
      <c r="D63" s="57" t="s">
        <v>33</v>
      </c>
      <c r="E63" s="45">
        <v>24</v>
      </c>
      <c r="F63" s="57" t="s">
        <v>11</v>
      </c>
      <c r="G63" s="62">
        <v>43786</v>
      </c>
      <c r="H63" s="57">
        <f>COUNTIF(tbl_employee[employee_id],tbl_employee[[#This Row],[employee_id]])</f>
        <v>1</v>
      </c>
      <c r="I63" s="57">
        <f>YEAR(tbl_employee[[#This Row],[join_date]])</f>
        <v>2019</v>
      </c>
    </row>
    <row r="64" spans="1:9" ht="19.8" x14ac:dyDescent="0.65">
      <c r="A64" s="57" t="s">
        <v>160</v>
      </c>
      <c r="B64" s="57" t="s">
        <v>161</v>
      </c>
      <c r="C64" s="57" t="s">
        <v>57</v>
      </c>
      <c r="D64" s="57" t="s">
        <v>22</v>
      </c>
      <c r="E64" s="45">
        <v>27</v>
      </c>
      <c r="F64" s="57" t="s">
        <v>11</v>
      </c>
      <c r="G64" s="62">
        <v>45048</v>
      </c>
      <c r="H64" s="57">
        <f>COUNTIF(tbl_employee[employee_id],tbl_employee[[#This Row],[employee_id]])</f>
        <v>1</v>
      </c>
      <c r="I64" s="57">
        <f>YEAR(tbl_employee[[#This Row],[join_date]])</f>
        <v>2023</v>
      </c>
    </row>
    <row r="65" spans="1:9" ht="19.8" x14ac:dyDescent="0.65">
      <c r="A65" s="57" t="s">
        <v>162</v>
      </c>
      <c r="B65" s="57" t="s">
        <v>163</v>
      </c>
      <c r="C65" s="57" t="s">
        <v>71</v>
      </c>
      <c r="D65" s="57" t="s">
        <v>33</v>
      </c>
      <c r="E65" s="45">
        <v>28</v>
      </c>
      <c r="F65" s="57" t="s">
        <v>11</v>
      </c>
      <c r="G65" s="62">
        <v>44062</v>
      </c>
      <c r="H65" s="57">
        <f>COUNTIF(tbl_employee[employee_id],tbl_employee[[#This Row],[employee_id]])</f>
        <v>1</v>
      </c>
      <c r="I65" s="57">
        <f>YEAR(tbl_employee[[#This Row],[join_date]])</f>
        <v>2020</v>
      </c>
    </row>
    <row r="66" spans="1:9" ht="19.8" x14ac:dyDescent="0.65">
      <c r="A66" s="57" t="s">
        <v>164</v>
      </c>
      <c r="B66" s="57" t="s">
        <v>92</v>
      </c>
      <c r="C66" s="57" t="s">
        <v>71</v>
      </c>
      <c r="D66" s="57" t="s">
        <v>33</v>
      </c>
      <c r="E66" s="45">
        <v>28</v>
      </c>
      <c r="F66" s="57" t="s">
        <v>25</v>
      </c>
      <c r="G66" s="62">
        <v>43975</v>
      </c>
      <c r="H66" s="57">
        <f>COUNTIF(tbl_employee[employee_id],tbl_employee[[#This Row],[employee_id]])</f>
        <v>1</v>
      </c>
      <c r="I66" s="57">
        <f>YEAR(tbl_employee[[#This Row],[join_date]])</f>
        <v>2020</v>
      </c>
    </row>
    <row r="67" spans="1:9" ht="19.8" x14ac:dyDescent="0.65">
      <c r="A67" s="57" t="s">
        <v>165</v>
      </c>
      <c r="B67" s="57" t="s">
        <v>166</v>
      </c>
      <c r="C67" s="57" t="s">
        <v>167</v>
      </c>
      <c r="D67" s="57" t="s">
        <v>10</v>
      </c>
      <c r="E67" s="45">
        <v>28</v>
      </c>
      <c r="F67" s="57" t="s">
        <v>11</v>
      </c>
      <c r="G67" s="62">
        <v>45735</v>
      </c>
      <c r="H67" s="57">
        <f>COUNTIF(tbl_employee[employee_id],tbl_employee[[#This Row],[employee_id]])</f>
        <v>1</v>
      </c>
      <c r="I67" s="57">
        <f>YEAR(tbl_employee[[#This Row],[join_date]])</f>
        <v>2025</v>
      </c>
    </row>
    <row r="68" spans="1:9" ht="19.8" x14ac:dyDescent="0.65">
      <c r="A68" s="57" t="s">
        <v>168</v>
      </c>
      <c r="B68" s="57" t="s">
        <v>169</v>
      </c>
      <c r="C68" s="57" t="s">
        <v>88</v>
      </c>
      <c r="D68" s="57" t="s">
        <v>29</v>
      </c>
      <c r="E68" s="45">
        <v>44</v>
      </c>
      <c r="F68" s="57" t="s">
        <v>25</v>
      </c>
      <c r="G68" s="62">
        <v>44705</v>
      </c>
      <c r="H68" s="57">
        <f>COUNTIF(tbl_employee[employee_id],tbl_employee[[#This Row],[employee_id]])</f>
        <v>1</v>
      </c>
      <c r="I68" s="57">
        <f>YEAR(tbl_employee[[#This Row],[join_date]])</f>
        <v>2022</v>
      </c>
    </row>
    <row r="69" spans="1:9" ht="19.8" x14ac:dyDescent="0.65">
      <c r="A69" s="57" t="s">
        <v>170</v>
      </c>
      <c r="B69" s="57" t="s">
        <v>171</v>
      </c>
      <c r="C69" s="57" t="s">
        <v>111</v>
      </c>
      <c r="D69" s="57" t="s">
        <v>18</v>
      </c>
      <c r="E69" s="45">
        <v>25</v>
      </c>
      <c r="F69" s="57" t="s">
        <v>11</v>
      </c>
      <c r="G69" s="62">
        <v>44216</v>
      </c>
      <c r="H69" s="57">
        <f>COUNTIF(tbl_employee[employee_id],tbl_employee[[#This Row],[employee_id]])</f>
        <v>1</v>
      </c>
      <c r="I69" s="57">
        <f>YEAR(tbl_employee[[#This Row],[join_date]])</f>
        <v>2021</v>
      </c>
    </row>
    <row r="70" spans="1:9" ht="19.8" x14ac:dyDescent="0.65">
      <c r="A70" s="57" t="s">
        <v>172</v>
      </c>
      <c r="B70" s="57" t="s">
        <v>173</v>
      </c>
      <c r="C70" s="57" t="s">
        <v>174</v>
      </c>
      <c r="D70" s="57" t="s">
        <v>37</v>
      </c>
      <c r="E70" s="45">
        <v>33</v>
      </c>
      <c r="F70" s="57" t="s">
        <v>11</v>
      </c>
      <c r="G70" s="62">
        <v>45660</v>
      </c>
      <c r="H70" s="57">
        <f>COUNTIF(tbl_employee[employee_id],tbl_employee[[#This Row],[employee_id]])</f>
        <v>1</v>
      </c>
      <c r="I70" s="57">
        <f>YEAR(tbl_employee[[#This Row],[join_date]])</f>
        <v>2025</v>
      </c>
    </row>
    <row r="71" spans="1:9" ht="19.8" x14ac:dyDescent="0.65">
      <c r="A71" s="57" t="s">
        <v>175</v>
      </c>
      <c r="B71" s="57" t="s">
        <v>176</v>
      </c>
      <c r="C71" s="57" t="s">
        <v>111</v>
      </c>
      <c r="D71" s="57" t="s">
        <v>18</v>
      </c>
      <c r="E71" s="45">
        <v>39</v>
      </c>
      <c r="F71" s="57" t="s">
        <v>25</v>
      </c>
      <c r="G71" s="62">
        <v>44150</v>
      </c>
      <c r="H71" s="57">
        <f>COUNTIF(tbl_employee[employee_id],tbl_employee[[#This Row],[employee_id]])</f>
        <v>1</v>
      </c>
      <c r="I71" s="57">
        <f>YEAR(tbl_employee[[#This Row],[join_date]])</f>
        <v>2020</v>
      </c>
    </row>
    <row r="72" spans="1:9" ht="19.8" x14ac:dyDescent="0.65">
      <c r="A72" s="57" t="s">
        <v>177</v>
      </c>
      <c r="B72" s="57" t="s">
        <v>178</v>
      </c>
      <c r="C72" s="57" t="s">
        <v>83</v>
      </c>
      <c r="D72" s="57" t="s">
        <v>22</v>
      </c>
      <c r="E72" s="45">
        <v>31</v>
      </c>
      <c r="F72" s="57" t="s">
        <v>25</v>
      </c>
      <c r="G72" s="62">
        <v>43889</v>
      </c>
      <c r="H72" s="57">
        <f>COUNTIF(tbl_employee[employee_id],tbl_employee[[#This Row],[employee_id]])</f>
        <v>1</v>
      </c>
      <c r="I72" s="57">
        <f>YEAR(tbl_employee[[#This Row],[join_date]])</f>
        <v>2020</v>
      </c>
    </row>
    <row r="73" spans="1:9" ht="19.8" x14ac:dyDescent="0.65">
      <c r="A73" s="57" t="s">
        <v>179</v>
      </c>
      <c r="B73" s="57" t="s">
        <v>180</v>
      </c>
      <c r="C73" s="57" t="s">
        <v>17</v>
      </c>
      <c r="D73" s="57" t="s">
        <v>18</v>
      </c>
      <c r="E73" s="45">
        <v>26</v>
      </c>
      <c r="F73" s="57" t="s">
        <v>11</v>
      </c>
      <c r="G73" s="62">
        <v>45610</v>
      </c>
      <c r="H73" s="57">
        <f>COUNTIF(tbl_employee[employee_id],tbl_employee[[#This Row],[employee_id]])</f>
        <v>1</v>
      </c>
      <c r="I73" s="57">
        <f>YEAR(tbl_employee[[#This Row],[join_date]])</f>
        <v>2024</v>
      </c>
    </row>
    <row r="74" spans="1:9" ht="19.8" x14ac:dyDescent="0.65">
      <c r="A74" s="57" t="s">
        <v>181</v>
      </c>
      <c r="B74" s="57" t="s">
        <v>182</v>
      </c>
      <c r="C74" s="57" t="s">
        <v>32</v>
      </c>
      <c r="D74" s="57" t="s">
        <v>33</v>
      </c>
      <c r="E74" s="45">
        <v>37</v>
      </c>
      <c r="F74" s="57" t="s">
        <v>11</v>
      </c>
      <c r="G74" s="62">
        <v>44881</v>
      </c>
      <c r="H74" s="57">
        <f>COUNTIF(tbl_employee[employee_id],tbl_employee[[#This Row],[employee_id]])</f>
        <v>1</v>
      </c>
      <c r="I74" s="57">
        <f>YEAR(tbl_employee[[#This Row],[join_date]])</f>
        <v>2022</v>
      </c>
    </row>
    <row r="75" spans="1:9" ht="19.8" x14ac:dyDescent="0.65">
      <c r="A75" s="57" t="s">
        <v>183</v>
      </c>
      <c r="B75" s="57" t="s">
        <v>184</v>
      </c>
      <c r="C75" s="57" t="s">
        <v>60</v>
      </c>
      <c r="D75" s="57" t="s">
        <v>61</v>
      </c>
      <c r="E75" s="45">
        <v>32</v>
      </c>
      <c r="F75" s="57" t="s">
        <v>25</v>
      </c>
      <c r="G75" s="62">
        <v>44250</v>
      </c>
      <c r="H75" s="57">
        <f>COUNTIF(tbl_employee[employee_id],tbl_employee[[#This Row],[employee_id]])</f>
        <v>1</v>
      </c>
      <c r="I75" s="57">
        <f>YEAR(tbl_employee[[#This Row],[join_date]])</f>
        <v>2021</v>
      </c>
    </row>
    <row r="76" spans="1:9" ht="19.8" x14ac:dyDescent="0.65">
      <c r="A76" s="57" t="s">
        <v>185</v>
      </c>
      <c r="B76" s="57" t="s">
        <v>186</v>
      </c>
      <c r="C76" s="57" t="s">
        <v>71</v>
      </c>
      <c r="D76" s="57" t="s">
        <v>33</v>
      </c>
      <c r="E76" s="45">
        <v>31</v>
      </c>
      <c r="F76" s="57" t="s">
        <v>25</v>
      </c>
      <c r="G76" s="62">
        <v>43543</v>
      </c>
      <c r="H76" s="57">
        <f>COUNTIF(tbl_employee[employee_id],tbl_employee[[#This Row],[employee_id]])</f>
        <v>1</v>
      </c>
      <c r="I76" s="57">
        <f>YEAR(tbl_employee[[#This Row],[join_date]])</f>
        <v>2019</v>
      </c>
    </row>
    <row r="77" spans="1:9" ht="19.8" x14ac:dyDescent="0.65">
      <c r="A77" s="57" t="s">
        <v>187</v>
      </c>
      <c r="B77" s="57" t="s">
        <v>188</v>
      </c>
      <c r="C77" s="57" t="s">
        <v>50</v>
      </c>
      <c r="D77" s="57" t="s">
        <v>37</v>
      </c>
      <c r="E77" s="45">
        <v>29</v>
      </c>
      <c r="F77" s="57" t="s">
        <v>25</v>
      </c>
      <c r="G77" s="62">
        <v>45440</v>
      </c>
      <c r="H77" s="57">
        <f>COUNTIF(tbl_employee[employee_id],tbl_employee[[#This Row],[employee_id]])</f>
        <v>1</v>
      </c>
      <c r="I77" s="57">
        <f>YEAR(tbl_employee[[#This Row],[join_date]])</f>
        <v>2024</v>
      </c>
    </row>
    <row r="78" spans="1:9" ht="19.8" x14ac:dyDescent="0.65">
      <c r="A78" s="57" t="s">
        <v>189</v>
      </c>
      <c r="B78" s="57" t="s">
        <v>190</v>
      </c>
      <c r="C78" s="57" t="s">
        <v>83</v>
      </c>
      <c r="D78" s="57" t="s">
        <v>22</v>
      </c>
      <c r="E78" s="45">
        <v>32</v>
      </c>
      <c r="F78" s="57" t="s">
        <v>11</v>
      </c>
      <c r="G78" s="62">
        <v>45048</v>
      </c>
      <c r="H78" s="57">
        <f>COUNTIF(tbl_employee[employee_id],tbl_employee[[#This Row],[employee_id]])</f>
        <v>1</v>
      </c>
      <c r="I78" s="57">
        <f>YEAR(tbl_employee[[#This Row],[join_date]])</f>
        <v>2023</v>
      </c>
    </row>
    <row r="79" spans="1:9" ht="19.8" x14ac:dyDescent="0.65">
      <c r="A79" s="57" t="s">
        <v>191</v>
      </c>
      <c r="B79" s="57" t="s">
        <v>192</v>
      </c>
      <c r="C79" s="57" t="s">
        <v>17</v>
      </c>
      <c r="D79" s="57" t="s">
        <v>18</v>
      </c>
      <c r="E79" s="45">
        <v>22</v>
      </c>
      <c r="F79" s="57" t="s">
        <v>11</v>
      </c>
      <c r="G79" s="62">
        <v>45815</v>
      </c>
      <c r="H79" s="57">
        <f>COUNTIF(tbl_employee[employee_id],tbl_employee[[#This Row],[employee_id]])</f>
        <v>1</v>
      </c>
      <c r="I79" s="57">
        <f>YEAR(tbl_employee[[#This Row],[join_date]])</f>
        <v>2025</v>
      </c>
    </row>
    <row r="80" spans="1:9" ht="19.8" x14ac:dyDescent="0.65">
      <c r="A80" s="57" t="s">
        <v>193</v>
      </c>
      <c r="B80" s="57" t="s">
        <v>194</v>
      </c>
      <c r="C80" s="57" t="s">
        <v>80</v>
      </c>
      <c r="D80" s="57" t="s">
        <v>61</v>
      </c>
      <c r="E80" s="45">
        <v>28</v>
      </c>
      <c r="F80" s="57" t="s">
        <v>25</v>
      </c>
      <c r="G80" s="62">
        <v>45736</v>
      </c>
      <c r="H80" s="57">
        <f>COUNTIF(tbl_employee[employee_id],tbl_employee[[#This Row],[employee_id]])</f>
        <v>1</v>
      </c>
      <c r="I80" s="57">
        <f>YEAR(tbl_employee[[#This Row],[join_date]])</f>
        <v>2025</v>
      </c>
    </row>
    <row r="81" spans="1:9" ht="19.8" x14ac:dyDescent="0.65">
      <c r="A81" s="57" t="s">
        <v>195</v>
      </c>
      <c r="B81" s="57" t="s">
        <v>196</v>
      </c>
      <c r="C81" s="57" t="s">
        <v>17</v>
      </c>
      <c r="D81" s="57" t="s">
        <v>18</v>
      </c>
      <c r="E81" s="45">
        <v>23</v>
      </c>
      <c r="F81" s="57" t="s">
        <v>25</v>
      </c>
      <c r="G81" s="62">
        <v>44880</v>
      </c>
      <c r="H81" s="57">
        <f>COUNTIF(tbl_employee[employee_id],tbl_employee[[#This Row],[employee_id]])</f>
        <v>1</v>
      </c>
      <c r="I81" s="57">
        <f>YEAR(tbl_employee[[#This Row],[join_date]])</f>
        <v>2022</v>
      </c>
    </row>
    <row r="82" spans="1:9" ht="19.8" x14ac:dyDescent="0.65">
      <c r="A82" s="57" t="s">
        <v>197</v>
      </c>
      <c r="B82" s="57" t="s">
        <v>198</v>
      </c>
      <c r="C82" s="57" t="s">
        <v>36</v>
      </c>
      <c r="D82" s="57" t="s">
        <v>37</v>
      </c>
      <c r="E82" s="45">
        <v>29</v>
      </c>
      <c r="F82" s="57" t="s">
        <v>11</v>
      </c>
      <c r="G82" s="62">
        <v>44891</v>
      </c>
      <c r="H82" s="57">
        <f>COUNTIF(tbl_employee[employee_id],tbl_employee[[#This Row],[employee_id]])</f>
        <v>1</v>
      </c>
      <c r="I82" s="57">
        <f>YEAR(tbl_employee[[#This Row],[join_date]])</f>
        <v>2022</v>
      </c>
    </row>
    <row r="83" spans="1:9" ht="19.8" x14ac:dyDescent="0.65">
      <c r="A83" s="57" t="s">
        <v>199</v>
      </c>
      <c r="B83" s="57" t="s">
        <v>200</v>
      </c>
      <c r="C83" s="57" t="s">
        <v>17</v>
      </c>
      <c r="D83" s="57" t="s">
        <v>18</v>
      </c>
      <c r="E83" s="45">
        <v>22</v>
      </c>
      <c r="F83" s="57" t="s">
        <v>25</v>
      </c>
      <c r="G83" s="62">
        <v>45679</v>
      </c>
      <c r="H83" s="57">
        <f>COUNTIF(tbl_employee[employee_id],tbl_employee[[#This Row],[employee_id]])</f>
        <v>1</v>
      </c>
      <c r="I83" s="57">
        <f>YEAR(tbl_employee[[#This Row],[join_date]])</f>
        <v>2025</v>
      </c>
    </row>
    <row r="84" spans="1:9" ht="19.8" x14ac:dyDescent="0.65">
      <c r="A84" s="57" t="s">
        <v>201</v>
      </c>
      <c r="B84" s="57" t="s">
        <v>202</v>
      </c>
      <c r="C84" s="57" t="s">
        <v>83</v>
      </c>
      <c r="D84" s="57" t="s">
        <v>22</v>
      </c>
      <c r="E84" s="45">
        <v>25</v>
      </c>
      <c r="F84" s="57" t="s">
        <v>11</v>
      </c>
      <c r="G84" s="62">
        <v>44201</v>
      </c>
      <c r="H84" s="57">
        <f>COUNTIF(tbl_employee[employee_id],tbl_employee[[#This Row],[employee_id]])</f>
        <v>1</v>
      </c>
      <c r="I84" s="57">
        <f>YEAR(tbl_employee[[#This Row],[join_date]])</f>
        <v>2021</v>
      </c>
    </row>
    <row r="85" spans="1:9" ht="19.8" x14ac:dyDescent="0.65">
      <c r="A85" s="57" t="s">
        <v>203</v>
      </c>
      <c r="B85" s="57" t="s">
        <v>204</v>
      </c>
      <c r="C85" s="57" t="s">
        <v>205</v>
      </c>
      <c r="D85" s="57" t="s">
        <v>61</v>
      </c>
      <c r="E85" s="45">
        <v>30</v>
      </c>
      <c r="F85" s="57" t="s">
        <v>11</v>
      </c>
      <c r="G85" s="62">
        <v>44660</v>
      </c>
      <c r="H85" s="57">
        <f>COUNTIF(tbl_employee[employee_id],tbl_employee[[#This Row],[employee_id]])</f>
        <v>1</v>
      </c>
      <c r="I85" s="57">
        <f>YEAR(tbl_employee[[#This Row],[join_date]])</f>
        <v>2022</v>
      </c>
    </row>
    <row r="86" spans="1:9" ht="19.8" x14ac:dyDescent="0.65">
      <c r="A86" s="57" t="s">
        <v>206</v>
      </c>
      <c r="B86" s="57" t="s">
        <v>207</v>
      </c>
      <c r="C86" s="57" t="s">
        <v>50</v>
      </c>
      <c r="D86" s="57" t="s">
        <v>37</v>
      </c>
      <c r="E86" s="45">
        <v>27</v>
      </c>
      <c r="F86" s="57" t="s">
        <v>25</v>
      </c>
      <c r="G86" s="62">
        <v>44845</v>
      </c>
      <c r="H86" s="57">
        <f>COUNTIF(tbl_employee[employee_id],tbl_employee[[#This Row],[employee_id]])</f>
        <v>1</v>
      </c>
      <c r="I86" s="57">
        <f>YEAR(tbl_employee[[#This Row],[join_date]])</f>
        <v>2022</v>
      </c>
    </row>
    <row r="87" spans="1:9" ht="19.8" x14ac:dyDescent="0.65">
      <c r="A87" s="57" t="s">
        <v>208</v>
      </c>
      <c r="B87" s="57" t="s">
        <v>209</v>
      </c>
      <c r="C87" s="57" t="s">
        <v>50</v>
      </c>
      <c r="D87" s="57" t="s">
        <v>37</v>
      </c>
      <c r="E87" s="45">
        <v>34</v>
      </c>
      <c r="F87" s="57" t="s">
        <v>11</v>
      </c>
      <c r="G87" s="62">
        <v>43167</v>
      </c>
      <c r="H87" s="57">
        <f>COUNTIF(tbl_employee[employee_id],tbl_employee[[#This Row],[employee_id]])</f>
        <v>1</v>
      </c>
      <c r="I87" s="57">
        <f>YEAR(tbl_employee[[#This Row],[join_date]])</f>
        <v>2018</v>
      </c>
    </row>
    <row r="88" spans="1:9" ht="19.8" x14ac:dyDescent="0.65">
      <c r="A88" s="57" t="s">
        <v>210</v>
      </c>
      <c r="B88" s="57" t="s">
        <v>211</v>
      </c>
      <c r="C88" s="57" t="s">
        <v>17</v>
      </c>
      <c r="D88" s="57" t="s">
        <v>18</v>
      </c>
      <c r="E88" s="45">
        <v>33</v>
      </c>
      <c r="F88" s="57" t="s">
        <v>25</v>
      </c>
      <c r="G88" s="62">
        <v>45682</v>
      </c>
      <c r="H88" s="57">
        <f>COUNTIF(tbl_employee[employee_id],tbl_employee[[#This Row],[employee_id]])</f>
        <v>1</v>
      </c>
      <c r="I88" s="57">
        <f>YEAR(tbl_employee[[#This Row],[join_date]])</f>
        <v>2025</v>
      </c>
    </row>
    <row r="89" spans="1:9" ht="19.8" x14ac:dyDescent="0.65">
      <c r="A89" s="57" t="s">
        <v>212</v>
      </c>
      <c r="B89" s="57" t="s">
        <v>63</v>
      </c>
      <c r="C89" s="57" t="s">
        <v>17</v>
      </c>
      <c r="D89" s="57" t="s">
        <v>18</v>
      </c>
      <c r="E89" s="45">
        <v>26</v>
      </c>
      <c r="F89" s="57" t="s">
        <v>11</v>
      </c>
      <c r="G89" s="62">
        <v>44297</v>
      </c>
      <c r="H89" s="57">
        <f>COUNTIF(tbl_employee[employee_id],tbl_employee[[#This Row],[employee_id]])</f>
        <v>1</v>
      </c>
      <c r="I89" s="57">
        <f>YEAR(tbl_employee[[#This Row],[join_date]])</f>
        <v>2021</v>
      </c>
    </row>
    <row r="90" spans="1:9" ht="19.8" x14ac:dyDescent="0.65">
      <c r="A90" s="57" t="s">
        <v>213</v>
      </c>
      <c r="B90" s="57" t="s">
        <v>214</v>
      </c>
      <c r="C90" s="57" t="s">
        <v>66</v>
      </c>
      <c r="D90" s="57" t="s">
        <v>29</v>
      </c>
      <c r="E90" s="45">
        <v>32</v>
      </c>
      <c r="F90" s="57" t="s">
        <v>25</v>
      </c>
      <c r="G90" s="62">
        <v>43646</v>
      </c>
      <c r="H90" s="57">
        <f>COUNTIF(tbl_employee[employee_id],tbl_employee[[#This Row],[employee_id]])</f>
        <v>1</v>
      </c>
      <c r="I90" s="57">
        <f>YEAR(tbl_employee[[#This Row],[join_date]])</f>
        <v>2019</v>
      </c>
    </row>
    <row r="91" spans="1:9" ht="19.8" x14ac:dyDescent="0.65">
      <c r="A91" s="57" t="s">
        <v>215</v>
      </c>
      <c r="B91" s="57" t="s">
        <v>216</v>
      </c>
      <c r="C91" s="57" t="s">
        <v>111</v>
      </c>
      <c r="D91" s="57" t="s">
        <v>18</v>
      </c>
      <c r="E91" s="45">
        <v>30</v>
      </c>
      <c r="F91" s="57" t="s">
        <v>11</v>
      </c>
      <c r="G91" s="62">
        <v>44138</v>
      </c>
      <c r="H91" s="57">
        <f>COUNTIF(tbl_employee[employee_id],tbl_employee[[#This Row],[employee_id]])</f>
        <v>1</v>
      </c>
      <c r="I91" s="57">
        <f>YEAR(tbl_employee[[#This Row],[join_date]])</f>
        <v>2020</v>
      </c>
    </row>
    <row r="92" spans="1:9" ht="19.8" x14ac:dyDescent="0.65">
      <c r="A92" s="57" t="s">
        <v>217</v>
      </c>
      <c r="B92" s="57" t="s">
        <v>218</v>
      </c>
      <c r="C92" s="57" t="s">
        <v>57</v>
      </c>
      <c r="D92" s="57" t="s">
        <v>22</v>
      </c>
      <c r="E92" s="45">
        <v>25</v>
      </c>
      <c r="F92" s="57" t="s">
        <v>11</v>
      </c>
      <c r="G92" s="62">
        <v>45317</v>
      </c>
      <c r="H92" s="57">
        <f>COUNTIF(tbl_employee[employee_id],tbl_employee[[#This Row],[employee_id]])</f>
        <v>1</v>
      </c>
      <c r="I92" s="57">
        <f>YEAR(tbl_employee[[#This Row],[join_date]])</f>
        <v>2024</v>
      </c>
    </row>
    <row r="93" spans="1:9" ht="19.8" x14ac:dyDescent="0.65">
      <c r="A93" s="57" t="s">
        <v>219</v>
      </c>
      <c r="B93" s="57" t="s">
        <v>220</v>
      </c>
      <c r="C93" s="57" t="s">
        <v>36</v>
      </c>
      <c r="D93" s="57" t="s">
        <v>37</v>
      </c>
      <c r="E93" s="45">
        <v>29</v>
      </c>
      <c r="F93" s="57" t="s">
        <v>11</v>
      </c>
      <c r="G93" s="62">
        <v>45100</v>
      </c>
      <c r="H93" s="57">
        <f>COUNTIF(tbl_employee[employee_id],tbl_employee[[#This Row],[employee_id]])</f>
        <v>1</v>
      </c>
      <c r="I93" s="57">
        <f>YEAR(tbl_employee[[#This Row],[join_date]])</f>
        <v>2023</v>
      </c>
    </row>
    <row r="94" spans="1:9" ht="19.8" x14ac:dyDescent="0.65">
      <c r="A94" s="57" t="s">
        <v>221</v>
      </c>
      <c r="B94" s="57" t="s">
        <v>222</v>
      </c>
      <c r="C94" s="57" t="s">
        <v>36</v>
      </c>
      <c r="D94" s="57" t="s">
        <v>37</v>
      </c>
      <c r="E94" s="45">
        <v>25</v>
      </c>
      <c r="F94" s="57" t="s">
        <v>11</v>
      </c>
      <c r="G94" s="62">
        <v>44882</v>
      </c>
      <c r="H94" s="57">
        <f>COUNTIF(tbl_employee[employee_id],tbl_employee[[#This Row],[employee_id]])</f>
        <v>1</v>
      </c>
      <c r="I94" s="57">
        <f>YEAR(tbl_employee[[#This Row],[join_date]])</f>
        <v>2022</v>
      </c>
    </row>
    <row r="95" spans="1:9" ht="19.8" x14ac:dyDescent="0.65">
      <c r="A95" s="57" t="s">
        <v>223</v>
      </c>
      <c r="B95" s="57" t="s">
        <v>224</v>
      </c>
      <c r="C95" s="57" t="s">
        <v>17</v>
      </c>
      <c r="D95" s="57" t="s">
        <v>18</v>
      </c>
      <c r="E95" s="45">
        <v>33</v>
      </c>
      <c r="F95" s="57" t="s">
        <v>11</v>
      </c>
      <c r="G95" s="62">
        <v>45612</v>
      </c>
      <c r="H95" s="57">
        <f>COUNTIF(tbl_employee[employee_id],tbl_employee[[#This Row],[employee_id]])</f>
        <v>1</v>
      </c>
      <c r="I95" s="57">
        <f>YEAR(tbl_employee[[#This Row],[join_date]])</f>
        <v>2024</v>
      </c>
    </row>
    <row r="96" spans="1:9" ht="19.8" x14ac:dyDescent="0.65">
      <c r="A96" s="57" t="s">
        <v>225</v>
      </c>
      <c r="B96" s="57" t="s">
        <v>226</v>
      </c>
      <c r="C96" s="57" t="s">
        <v>9</v>
      </c>
      <c r="D96" s="57" t="s">
        <v>10</v>
      </c>
      <c r="E96" s="45">
        <v>35</v>
      </c>
      <c r="F96" s="57" t="s">
        <v>25</v>
      </c>
      <c r="G96" s="62">
        <v>44302</v>
      </c>
      <c r="H96" s="57">
        <f>COUNTIF(tbl_employee[employee_id],tbl_employee[[#This Row],[employee_id]])</f>
        <v>1</v>
      </c>
      <c r="I96" s="57">
        <f>YEAR(tbl_employee[[#This Row],[join_date]])</f>
        <v>2021</v>
      </c>
    </row>
    <row r="97" spans="1:9" ht="19.8" x14ac:dyDescent="0.65">
      <c r="A97" s="57" t="s">
        <v>227</v>
      </c>
      <c r="B97" s="57" t="s">
        <v>228</v>
      </c>
      <c r="C97" s="57" t="s">
        <v>17</v>
      </c>
      <c r="D97" s="57" t="s">
        <v>18</v>
      </c>
      <c r="E97" s="45">
        <v>30</v>
      </c>
      <c r="F97" s="57" t="s">
        <v>11</v>
      </c>
      <c r="G97" s="62">
        <v>45122</v>
      </c>
      <c r="H97" s="57">
        <f>COUNTIF(tbl_employee[employee_id],tbl_employee[[#This Row],[employee_id]])</f>
        <v>1</v>
      </c>
      <c r="I97" s="57">
        <f>YEAR(tbl_employee[[#This Row],[join_date]])</f>
        <v>2023</v>
      </c>
    </row>
    <row r="98" spans="1:9" ht="19.8" x14ac:dyDescent="0.65">
      <c r="A98" s="57" t="s">
        <v>229</v>
      </c>
      <c r="B98" s="57" t="s">
        <v>230</v>
      </c>
      <c r="C98" s="57" t="s">
        <v>14</v>
      </c>
      <c r="D98" s="57" t="s">
        <v>10</v>
      </c>
      <c r="E98" s="45">
        <v>25</v>
      </c>
      <c r="F98" s="57" t="s">
        <v>11</v>
      </c>
      <c r="G98" s="62">
        <v>44011</v>
      </c>
      <c r="H98" s="57">
        <f>COUNTIF(tbl_employee[employee_id],tbl_employee[[#This Row],[employee_id]])</f>
        <v>1</v>
      </c>
      <c r="I98" s="57">
        <f>YEAR(tbl_employee[[#This Row],[join_date]])</f>
        <v>2020</v>
      </c>
    </row>
    <row r="99" spans="1:9" ht="19.8" x14ac:dyDescent="0.65">
      <c r="A99" s="57" t="s">
        <v>231</v>
      </c>
      <c r="B99" s="57" t="s">
        <v>232</v>
      </c>
      <c r="C99" s="57" t="s">
        <v>43</v>
      </c>
      <c r="D99" s="57" t="s">
        <v>18</v>
      </c>
      <c r="E99" s="45">
        <v>36</v>
      </c>
      <c r="F99" s="57" t="s">
        <v>11</v>
      </c>
      <c r="G99" s="62">
        <v>44068</v>
      </c>
      <c r="H99" s="57">
        <f>COUNTIF(tbl_employee[employee_id],tbl_employee[[#This Row],[employee_id]])</f>
        <v>1</v>
      </c>
      <c r="I99" s="57">
        <f>YEAR(tbl_employee[[#This Row],[join_date]])</f>
        <v>2020</v>
      </c>
    </row>
    <row r="100" spans="1:9" ht="19.8" x14ac:dyDescent="0.65">
      <c r="A100" s="57" t="s">
        <v>233</v>
      </c>
      <c r="B100" s="57" t="s">
        <v>234</v>
      </c>
      <c r="C100" s="57" t="s">
        <v>50</v>
      </c>
      <c r="D100" s="57" t="s">
        <v>37</v>
      </c>
      <c r="E100" s="45">
        <v>27</v>
      </c>
      <c r="F100" s="57" t="s">
        <v>11</v>
      </c>
      <c r="G100" s="62">
        <v>43973</v>
      </c>
      <c r="H100" s="57">
        <f>COUNTIF(tbl_employee[employee_id],tbl_employee[[#This Row],[employee_id]])</f>
        <v>1</v>
      </c>
      <c r="I100" s="57">
        <f>YEAR(tbl_employee[[#This Row],[join_date]])</f>
        <v>2020</v>
      </c>
    </row>
    <row r="101" spans="1:9" ht="19.8" x14ac:dyDescent="0.65">
      <c r="A101" s="57" t="s">
        <v>235</v>
      </c>
      <c r="B101" s="57" t="s">
        <v>236</v>
      </c>
      <c r="C101" s="57" t="s">
        <v>32</v>
      </c>
      <c r="D101" s="57" t="s">
        <v>33</v>
      </c>
      <c r="E101" s="45">
        <v>35</v>
      </c>
      <c r="F101" s="57" t="s">
        <v>25</v>
      </c>
      <c r="G101" s="62">
        <v>45450</v>
      </c>
      <c r="H101" s="57">
        <f>COUNTIF(tbl_employee[employee_id],tbl_employee[[#This Row],[employee_id]])</f>
        <v>1</v>
      </c>
      <c r="I101" s="57">
        <f>YEAR(tbl_employee[[#This Row],[join_date]])</f>
        <v>2024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B246-1017-4548-A10E-CFBE23C2C857}">
  <dimension ref="A1:H1130"/>
  <sheetViews>
    <sheetView workbookViewId="0">
      <selection activeCell="M10" sqref="M10"/>
    </sheetView>
  </sheetViews>
  <sheetFormatPr defaultRowHeight="14.4" x14ac:dyDescent="0.3"/>
  <cols>
    <col min="1" max="1" width="16.33203125" style="2" bestFit="1" customWidth="1"/>
    <col min="2" max="2" width="11.88671875" style="2" bestFit="1" customWidth="1"/>
    <col min="3" max="3" width="10.44140625" style="2" bestFit="1" customWidth="1"/>
    <col min="4" max="4" width="13" style="2" bestFit="1" customWidth="1"/>
    <col min="5" max="5" width="24.6640625" style="2" bestFit="1" customWidth="1"/>
    <col min="6" max="6" width="14.33203125" style="2" bestFit="1" customWidth="1"/>
    <col min="7" max="7" width="20.109375" style="8" bestFit="1" customWidth="1"/>
    <col min="8" max="8" width="22.5546875" style="2" bestFit="1" customWidth="1"/>
  </cols>
  <sheetData>
    <row r="1" spans="1:8" x14ac:dyDescent="0.3">
      <c r="A1" s="80" t="s">
        <v>0</v>
      </c>
      <c r="B1" s="80" t="s">
        <v>237</v>
      </c>
      <c r="C1" s="80" t="s">
        <v>238</v>
      </c>
      <c r="D1" s="80" t="s">
        <v>239</v>
      </c>
      <c r="E1" s="80" t="s">
        <v>301</v>
      </c>
      <c r="F1" s="80" t="s">
        <v>302</v>
      </c>
      <c r="G1" s="81" t="s">
        <v>326</v>
      </c>
      <c r="H1" s="80" t="s">
        <v>327</v>
      </c>
    </row>
    <row r="2" spans="1:8" ht="19.8" x14ac:dyDescent="0.65">
      <c r="A2" s="58" t="s">
        <v>7</v>
      </c>
      <c r="B2" s="59">
        <v>45658</v>
      </c>
      <c r="C2" s="60">
        <v>353</v>
      </c>
      <c r="D2" s="60">
        <v>299</v>
      </c>
      <c r="E2" s="58" t="str">
        <f>tbl_performance[[#This Row],[employee_id]]&amp;"-"&amp;TEXT(tbl_performance[[#This Row],[month]],"mm")</f>
        <v>EMP1001-01</v>
      </c>
      <c r="F2" s="60">
        <f>COUNTIF(tbl_performance[employee_month_key],tbl_performance[[#This Row],[employee_month_key]])</f>
        <v>1</v>
      </c>
      <c r="G2" s="61">
        <f>tbl_performance[[#This Row],[achieved]]/tbl_performance[[#This Row],[target]]</f>
        <v>0.84702549575070818</v>
      </c>
      <c r="H2" s="60" t="str" cm="1">
        <f t="array" ref="H2">_xlfn.IFS(tbl_performance[[#This Row],[performance_pct]]&gt;=1.1,"Excellent",tbl_performance[[#This Row],[performance_pct]]&gt;=1,"Good",tbl_performance[[#This Row],[performance_pct]]&gt;=0.85,"Average",TRUE,"Poor")</f>
        <v>Poor</v>
      </c>
    </row>
    <row r="3" spans="1:8" ht="19.8" x14ac:dyDescent="0.65">
      <c r="A3" s="58" t="s">
        <v>7</v>
      </c>
      <c r="B3" s="59">
        <v>45689</v>
      </c>
      <c r="C3" s="60">
        <v>328</v>
      </c>
      <c r="D3" s="60">
        <v>280</v>
      </c>
      <c r="E3" s="60" t="str">
        <f>tbl_performance[[#This Row],[employee_id]]&amp;"-"&amp;TEXT(tbl_performance[[#This Row],[month]],"mm")</f>
        <v>EMP1001-02</v>
      </c>
      <c r="F3" s="60">
        <f>COUNTIF(tbl_performance[employee_month_key],tbl_performance[[#This Row],[employee_month_key]])</f>
        <v>1</v>
      </c>
      <c r="G3" s="61">
        <f>tbl_performance[[#This Row],[achieved]]/tbl_performance[[#This Row],[target]]</f>
        <v>0.85365853658536583</v>
      </c>
      <c r="H3" s="60" t="str" cm="1">
        <f t="array" ref="H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" spans="1:8" ht="19.8" x14ac:dyDescent="0.65">
      <c r="A4" s="58" t="s">
        <v>7</v>
      </c>
      <c r="B4" s="59">
        <v>45717</v>
      </c>
      <c r="C4" s="60">
        <v>360</v>
      </c>
      <c r="D4" s="60">
        <v>325</v>
      </c>
      <c r="E4" s="60" t="str">
        <f>tbl_performance[[#This Row],[employee_id]]&amp;"-"&amp;TEXT(tbl_performance[[#This Row],[month]],"mm")</f>
        <v>EMP1001-03</v>
      </c>
      <c r="F4" s="60">
        <f>COUNTIF(tbl_performance[employee_month_key],tbl_performance[[#This Row],[employee_month_key]])</f>
        <v>1</v>
      </c>
      <c r="G4" s="61">
        <f>tbl_performance[[#This Row],[achieved]]/tbl_performance[[#This Row],[target]]</f>
        <v>0.90277777777777779</v>
      </c>
      <c r="H4" s="60" t="str" cm="1">
        <f t="array" ref="H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" spans="1:8" ht="19.8" x14ac:dyDescent="0.65">
      <c r="A5" s="58" t="s">
        <v>7</v>
      </c>
      <c r="B5" s="59">
        <v>45748</v>
      </c>
      <c r="C5" s="60">
        <v>353</v>
      </c>
      <c r="D5" s="60">
        <v>306</v>
      </c>
      <c r="E5" s="60" t="str">
        <f>tbl_performance[[#This Row],[employee_id]]&amp;"-"&amp;TEXT(tbl_performance[[#This Row],[month]],"mm")</f>
        <v>EMP1001-04</v>
      </c>
      <c r="F5" s="60">
        <f>COUNTIF(tbl_performance[employee_month_key],tbl_performance[[#This Row],[employee_month_key]])</f>
        <v>1</v>
      </c>
      <c r="G5" s="61">
        <f>tbl_performance[[#This Row],[achieved]]/tbl_performance[[#This Row],[target]]</f>
        <v>0.86685552407932009</v>
      </c>
      <c r="H5" s="60" t="str" cm="1">
        <f t="array" ref="H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" spans="1:8" ht="19.8" x14ac:dyDescent="0.65">
      <c r="A6" s="58" t="s">
        <v>7</v>
      </c>
      <c r="B6" s="59">
        <v>45778</v>
      </c>
      <c r="C6" s="60">
        <v>353</v>
      </c>
      <c r="D6" s="60">
        <v>321</v>
      </c>
      <c r="E6" s="60" t="str">
        <f>tbl_performance[[#This Row],[employee_id]]&amp;"-"&amp;TEXT(tbl_performance[[#This Row],[month]],"mm")</f>
        <v>EMP1001-05</v>
      </c>
      <c r="F6" s="60">
        <f>COUNTIF(tbl_performance[employee_month_key],tbl_performance[[#This Row],[employee_month_key]])</f>
        <v>1</v>
      </c>
      <c r="G6" s="61">
        <f>tbl_performance[[#This Row],[achieved]]/tbl_performance[[#This Row],[target]]</f>
        <v>0.90934844192634556</v>
      </c>
      <c r="H6" s="60" t="str" cm="1">
        <f t="array" ref="H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" spans="1:8" ht="19.8" x14ac:dyDescent="0.65">
      <c r="A7" s="58" t="s">
        <v>7</v>
      </c>
      <c r="B7" s="59">
        <v>45809</v>
      </c>
      <c r="C7" s="60">
        <v>346</v>
      </c>
      <c r="D7" s="60">
        <v>368</v>
      </c>
      <c r="E7" s="60" t="str">
        <f>tbl_performance[[#This Row],[employee_id]]&amp;"-"&amp;TEXT(tbl_performance[[#This Row],[month]],"mm")</f>
        <v>EMP1001-06</v>
      </c>
      <c r="F7" s="60">
        <f>COUNTIF(tbl_performance[employee_month_key],tbl_performance[[#This Row],[employee_month_key]])</f>
        <v>1</v>
      </c>
      <c r="G7" s="61">
        <f>tbl_performance[[#This Row],[achieved]]/tbl_performance[[#This Row],[target]]</f>
        <v>1.0635838150289016</v>
      </c>
      <c r="H7" s="60" t="str" cm="1">
        <f t="array" ref="H7">_xlfn.IFS(tbl_performance[[#This Row],[performance_pct]]&gt;=1.1,"Excellent",tbl_performance[[#This Row],[performance_pct]]&gt;=1,"Good",tbl_performance[[#This Row],[performance_pct]]&gt;=0.85,"Average",TRUE,"Poor")</f>
        <v>Good</v>
      </c>
    </row>
    <row r="8" spans="1:8" ht="19.8" x14ac:dyDescent="0.65">
      <c r="A8" s="58" t="s">
        <v>7</v>
      </c>
      <c r="B8" s="59">
        <v>45839</v>
      </c>
      <c r="C8" s="60">
        <v>353</v>
      </c>
      <c r="D8" s="60">
        <v>316</v>
      </c>
      <c r="E8" s="60" t="str">
        <f>tbl_performance[[#This Row],[employee_id]]&amp;"-"&amp;TEXT(tbl_performance[[#This Row],[month]],"mm")</f>
        <v>EMP1001-07</v>
      </c>
      <c r="F8" s="60">
        <f>COUNTIF(tbl_performance[employee_month_key],tbl_performance[[#This Row],[employee_month_key]])</f>
        <v>1</v>
      </c>
      <c r="G8" s="61">
        <f>tbl_performance[[#This Row],[achieved]]/tbl_performance[[#This Row],[target]]</f>
        <v>0.89518413597733715</v>
      </c>
      <c r="H8" s="60" t="str" cm="1">
        <f t="array" ref="H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" spans="1:8" ht="19.8" x14ac:dyDescent="0.65">
      <c r="A9" s="58" t="s">
        <v>7</v>
      </c>
      <c r="B9" s="59">
        <v>45870</v>
      </c>
      <c r="C9" s="60">
        <v>343</v>
      </c>
      <c r="D9" s="60">
        <v>309</v>
      </c>
      <c r="E9" s="60" t="str">
        <f>tbl_performance[[#This Row],[employee_id]]&amp;"-"&amp;TEXT(tbl_performance[[#This Row],[month]],"mm")</f>
        <v>EMP1001-08</v>
      </c>
      <c r="F9" s="60">
        <f>COUNTIF(tbl_performance[employee_month_key],tbl_performance[[#This Row],[employee_month_key]])</f>
        <v>1</v>
      </c>
      <c r="G9" s="61">
        <f>tbl_performance[[#This Row],[achieved]]/tbl_performance[[#This Row],[target]]</f>
        <v>0.9008746355685131</v>
      </c>
      <c r="H9" s="60" t="str" cm="1">
        <f t="array" ref="H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" spans="1:8" ht="19.8" x14ac:dyDescent="0.65">
      <c r="A10" s="58" t="s">
        <v>7</v>
      </c>
      <c r="B10" s="59">
        <v>45901</v>
      </c>
      <c r="C10" s="60">
        <v>353</v>
      </c>
      <c r="D10" s="60">
        <v>310</v>
      </c>
      <c r="E10" s="60" t="str">
        <f>tbl_performance[[#This Row],[employee_id]]&amp;"-"&amp;TEXT(tbl_performance[[#This Row],[month]],"mm")</f>
        <v>EMP1001-09</v>
      </c>
      <c r="F10" s="60">
        <f>COUNTIF(tbl_performance[employee_month_key],tbl_performance[[#This Row],[employee_month_key]])</f>
        <v>1</v>
      </c>
      <c r="G10" s="61">
        <f>tbl_performance[[#This Row],[achieved]]/tbl_performance[[#This Row],[target]]</f>
        <v>0.87818696883852687</v>
      </c>
      <c r="H10" s="60" t="str" cm="1">
        <f t="array" ref="H1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" spans="1:8" ht="19.8" x14ac:dyDescent="0.65">
      <c r="A11" s="58" t="s">
        <v>7</v>
      </c>
      <c r="B11" s="59">
        <v>45931</v>
      </c>
      <c r="C11" s="60">
        <v>360</v>
      </c>
      <c r="D11" s="60">
        <v>270</v>
      </c>
      <c r="E11" s="60" t="str">
        <f>tbl_performance[[#This Row],[employee_id]]&amp;"-"&amp;TEXT(tbl_performance[[#This Row],[month]],"mm")</f>
        <v>EMP1001-10</v>
      </c>
      <c r="F11" s="60">
        <f>COUNTIF(tbl_performance[employee_month_key],tbl_performance[[#This Row],[employee_month_key]])</f>
        <v>1</v>
      </c>
      <c r="G11" s="61">
        <f>tbl_performance[[#This Row],[achieved]]/tbl_performance[[#This Row],[target]]</f>
        <v>0.75</v>
      </c>
      <c r="H11" s="60" t="str" cm="1">
        <f t="array" ref="H11">_xlfn.IFS(tbl_performance[[#This Row],[performance_pct]]&gt;=1.1,"Excellent",tbl_performance[[#This Row],[performance_pct]]&gt;=1,"Good",tbl_performance[[#This Row],[performance_pct]]&gt;=0.85,"Average",TRUE,"Poor")</f>
        <v>Poor</v>
      </c>
    </row>
    <row r="12" spans="1:8" ht="19.8" x14ac:dyDescent="0.65">
      <c r="A12" s="58" t="s">
        <v>7</v>
      </c>
      <c r="B12" s="59">
        <v>45962</v>
      </c>
      <c r="C12" s="60">
        <v>353</v>
      </c>
      <c r="D12" s="60">
        <v>348</v>
      </c>
      <c r="E12" s="60" t="str">
        <f>tbl_performance[[#This Row],[employee_id]]&amp;"-"&amp;TEXT(tbl_performance[[#This Row],[month]],"mm")</f>
        <v>EMP1001-11</v>
      </c>
      <c r="F12" s="60">
        <f>COUNTIF(tbl_performance[employee_month_key],tbl_performance[[#This Row],[employee_month_key]])</f>
        <v>1</v>
      </c>
      <c r="G12" s="61">
        <f>tbl_performance[[#This Row],[achieved]]/tbl_performance[[#This Row],[target]]</f>
        <v>0.98583569405099147</v>
      </c>
      <c r="H12" s="60" t="str" cm="1">
        <f t="array" ref="H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" spans="1:8" ht="19.8" x14ac:dyDescent="0.65">
      <c r="A13" s="58" t="s">
        <v>7</v>
      </c>
      <c r="B13" s="59">
        <v>45992</v>
      </c>
      <c r="C13" s="60">
        <v>300</v>
      </c>
      <c r="D13" s="60">
        <v>267</v>
      </c>
      <c r="E13" s="60" t="str">
        <f>tbl_performance[[#This Row],[employee_id]]&amp;"-"&amp;TEXT(tbl_performance[[#This Row],[month]],"mm")</f>
        <v>EMP1001-12</v>
      </c>
      <c r="F13" s="60">
        <f>COUNTIF(tbl_performance[employee_month_key],tbl_performance[[#This Row],[employee_month_key]])</f>
        <v>1</v>
      </c>
      <c r="G13" s="61">
        <f>tbl_performance[[#This Row],[achieved]]/tbl_performance[[#This Row],[target]]</f>
        <v>0.89</v>
      </c>
      <c r="H13" s="60" t="str" cm="1">
        <f t="array" ref="H1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4" spans="1:8" ht="19.8" x14ac:dyDescent="0.65">
      <c r="A14" s="58" t="s">
        <v>12</v>
      </c>
      <c r="B14" s="59">
        <v>45658</v>
      </c>
      <c r="C14" s="60">
        <v>83</v>
      </c>
      <c r="D14" s="60">
        <v>98</v>
      </c>
      <c r="E14" s="60" t="str">
        <f>tbl_performance[[#This Row],[employee_id]]&amp;"-"&amp;TEXT(tbl_performance[[#This Row],[month]],"mm")</f>
        <v>EMP1002-01</v>
      </c>
      <c r="F14" s="60">
        <f>COUNTIF(tbl_performance[employee_month_key],tbl_performance[[#This Row],[employee_month_key]])</f>
        <v>1</v>
      </c>
      <c r="G14" s="61">
        <f>tbl_performance[[#This Row],[achieved]]/tbl_performance[[#This Row],[target]]</f>
        <v>1.1807228915662651</v>
      </c>
      <c r="H14" s="60" t="str" cm="1">
        <f t="array" ref="H1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5" spans="1:8" ht="19.8" x14ac:dyDescent="0.65">
      <c r="A15" s="58" t="s">
        <v>12</v>
      </c>
      <c r="B15" s="59">
        <v>45689</v>
      </c>
      <c r="C15" s="60">
        <v>77</v>
      </c>
      <c r="D15" s="60">
        <v>93</v>
      </c>
      <c r="E15" s="60" t="str">
        <f>tbl_performance[[#This Row],[employee_id]]&amp;"-"&amp;TEXT(tbl_performance[[#This Row],[month]],"mm")</f>
        <v>EMP1002-02</v>
      </c>
      <c r="F15" s="60">
        <f>COUNTIF(tbl_performance[employee_month_key],tbl_performance[[#This Row],[employee_month_key]])</f>
        <v>1</v>
      </c>
      <c r="G15" s="61">
        <f>tbl_performance[[#This Row],[achieved]]/tbl_performance[[#This Row],[target]]</f>
        <v>1.2077922077922079</v>
      </c>
      <c r="H15" s="60" t="str" cm="1">
        <f t="array" ref="H1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6" spans="1:8" ht="19.8" x14ac:dyDescent="0.65">
      <c r="A16" s="58" t="s">
        <v>12</v>
      </c>
      <c r="B16" s="59">
        <v>45717</v>
      </c>
      <c r="C16" s="60">
        <v>85</v>
      </c>
      <c r="D16" s="60">
        <v>108</v>
      </c>
      <c r="E16" s="60" t="str">
        <f>tbl_performance[[#This Row],[employee_id]]&amp;"-"&amp;TEXT(tbl_performance[[#This Row],[month]],"mm")</f>
        <v>EMP1002-03</v>
      </c>
      <c r="F16" s="60">
        <f>COUNTIF(tbl_performance[employee_month_key],tbl_performance[[#This Row],[employee_month_key]])</f>
        <v>1</v>
      </c>
      <c r="G16" s="61">
        <f>tbl_performance[[#This Row],[achieved]]/tbl_performance[[#This Row],[target]]</f>
        <v>1.2705882352941176</v>
      </c>
      <c r="H16" s="60" t="str" cm="1">
        <f t="array" ref="H1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7" spans="1:8" ht="19.8" x14ac:dyDescent="0.65">
      <c r="A17" s="58" t="s">
        <v>12</v>
      </c>
      <c r="B17" s="59">
        <v>45748</v>
      </c>
      <c r="C17" s="60">
        <v>83</v>
      </c>
      <c r="D17" s="60">
        <v>92</v>
      </c>
      <c r="E17" s="60" t="str">
        <f>tbl_performance[[#This Row],[employee_id]]&amp;"-"&amp;TEXT(tbl_performance[[#This Row],[month]],"mm")</f>
        <v>EMP1002-04</v>
      </c>
      <c r="F17" s="60">
        <f>COUNTIF(tbl_performance[employee_month_key],tbl_performance[[#This Row],[employee_month_key]])</f>
        <v>1</v>
      </c>
      <c r="G17" s="61">
        <f>tbl_performance[[#This Row],[achieved]]/tbl_performance[[#This Row],[target]]</f>
        <v>1.1084337349397591</v>
      </c>
      <c r="H17" s="60" t="str" cm="1">
        <f t="array" ref="H1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8" spans="1:8" ht="19.8" x14ac:dyDescent="0.65">
      <c r="A18" s="58" t="s">
        <v>12</v>
      </c>
      <c r="B18" s="59">
        <v>45778</v>
      </c>
      <c r="C18" s="60">
        <v>83</v>
      </c>
      <c r="D18" s="60">
        <v>106</v>
      </c>
      <c r="E18" s="60" t="str">
        <f>tbl_performance[[#This Row],[employee_id]]&amp;"-"&amp;TEXT(tbl_performance[[#This Row],[month]],"mm")</f>
        <v>EMP1002-05</v>
      </c>
      <c r="F18" s="60">
        <f>COUNTIF(tbl_performance[employee_month_key],tbl_performance[[#This Row],[employee_month_key]])</f>
        <v>1</v>
      </c>
      <c r="G18" s="61">
        <f>tbl_performance[[#This Row],[achieved]]/tbl_performance[[#This Row],[target]]</f>
        <v>1.2771084337349397</v>
      </c>
      <c r="H18" s="60" t="str" cm="1">
        <f t="array" ref="H1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9" spans="1:8" ht="19.8" x14ac:dyDescent="0.65">
      <c r="A19" s="58" t="s">
        <v>12</v>
      </c>
      <c r="B19" s="59">
        <v>45809</v>
      </c>
      <c r="C19" s="60">
        <v>81</v>
      </c>
      <c r="D19" s="60">
        <v>105</v>
      </c>
      <c r="E19" s="60" t="str">
        <f>tbl_performance[[#This Row],[employee_id]]&amp;"-"&amp;TEXT(tbl_performance[[#This Row],[month]],"mm")</f>
        <v>EMP1002-06</v>
      </c>
      <c r="F19" s="60">
        <f>COUNTIF(tbl_performance[employee_month_key],tbl_performance[[#This Row],[employee_month_key]])</f>
        <v>1</v>
      </c>
      <c r="G19" s="61">
        <f>tbl_performance[[#This Row],[achieved]]/tbl_performance[[#This Row],[target]]</f>
        <v>1.2962962962962963</v>
      </c>
      <c r="H19" s="60" t="str" cm="1">
        <f t="array" ref="H1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0" spans="1:8" ht="19.8" x14ac:dyDescent="0.65">
      <c r="A20" s="58" t="s">
        <v>12</v>
      </c>
      <c r="B20" s="59">
        <v>45839</v>
      </c>
      <c r="C20" s="60">
        <v>83</v>
      </c>
      <c r="D20" s="60">
        <v>104</v>
      </c>
      <c r="E20" s="60" t="str">
        <f>tbl_performance[[#This Row],[employee_id]]&amp;"-"&amp;TEXT(tbl_performance[[#This Row],[month]],"mm")</f>
        <v>EMP1002-07</v>
      </c>
      <c r="F20" s="60">
        <f>COUNTIF(tbl_performance[employee_month_key],tbl_performance[[#This Row],[employee_month_key]])</f>
        <v>1</v>
      </c>
      <c r="G20" s="61">
        <f>tbl_performance[[#This Row],[achieved]]/tbl_performance[[#This Row],[target]]</f>
        <v>1.2530120481927711</v>
      </c>
      <c r="H20" s="60" t="str" cm="1">
        <f t="array" ref="H2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" spans="1:8" ht="19.8" x14ac:dyDescent="0.65">
      <c r="A21" s="58" t="s">
        <v>12</v>
      </c>
      <c r="B21" s="59">
        <v>45870</v>
      </c>
      <c r="C21" s="60">
        <v>80</v>
      </c>
      <c r="D21" s="60">
        <v>91</v>
      </c>
      <c r="E21" s="60" t="str">
        <f>tbl_performance[[#This Row],[employee_id]]&amp;"-"&amp;TEXT(tbl_performance[[#This Row],[month]],"mm")</f>
        <v>EMP1002-08</v>
      </c>
      <c r="F21" s="60">
        <f>COUNTIF(tbl_performance[employee_month_key],tbl_performance[[#This Row],[employee_month_key]])</f>
        <v>1</v>
      </c>
      <c r="G21" s="61">
        <f>tbl_performance[[#This Row],[achieved]]/tbl_performance[[#This Row],[target]]</f>
        <v>1.1375</v>
      </c>
      <c r="H21" s="60" t="str" cm="1">
        <f t="array" ref="H2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2" spans="1:8" ht="19.8" x14ac:dyDescent="0.65">
      <c r="A22" s="58" t="s">
        <v>12</v>
      </c>
      <c r="B22" s="59">
        <v>45901</v>
      </c>
      <c r="C22" s="60">
        <v>83</v>
      </c>
      <c r="D22" s="60">
        <v>108</v>
      </c>
      <c r="E22" s="60" t="str">
        <f>tbl_performance[[#This Row],[employee_id]]&amp;"-"&amp;TEXT(tbl_performance[[#This Row],[month]],"mm")</f>
        <v>EMP1002-09</v>
      </c>
      <c r="F22" s="60">
        <f>COUNTIF(tbl_performance[employee_month_key],tbl_performance[[#This Row],[employee_month_key]])</f>
        <v>1</v>
      </c>
      <c r="G22" s="61">
        <f>tbl_performance[[#This Row],[achieved]]/tbl_performance[[#This Row],[target]]</f>
        <v>1.3012048192771084</v>
      </c>
      <c r="H22" s="60" t="str" cm="1">
        <f t="array" ref="H2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3" spans="1:8" ht="19.8" x14ac:dyDescent="0.65">
      <c r="A23" s="58" t="s">
        <v>12</v>
      </c>
      <c r="B23" s="59">
        <v>45931</v>
      </c>
      <c r="C23" s="60">
        <v>85</v>
      </c>
      <c r="D23" s="60">
        <v>94</v>
      </c>
      <c r="E23" s="60" t="str">
        <f>tbl_performance[[#This Row],[employee_id]]&amp;"-"&amp;TEXT(tbl_performance[[#This Row],[month]],"mm")</f>
        <v>EMP1002-10</v>
      </c>
      <c r="F23" s="60">
        <f>COUNTIF(tbl_performance[employee_month_key],tbl_performance[[#This Row],[employee_month_key]])</f>
        <v>1</v>
      </c>
      <c r="G23" s="61">
        <f>tbl_performance[[#This Row],[achieved]]/tbl_performance[[#This Row],[target]]</f>
        <v>1.1058823529411765</v>
      </c>
      <c r="H23" s="60" t="str" cm="1">
        <f t="array" ref="H2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4" spans="1:8" ht="19.8" x14ac:dyDescent="0.65">
      <c r="A24" s="58" t="s">
        <v>12</v>
      </c>
      <c r="B24" s="59">
        <v>45962</v>
      </c>
      <c r="C24" s="60">
        <v>83</v>
      </c>
      <c r="D24" s="60">
        <v>111</v>
      </c>
      <c r="E24" s="60" t="str">
        <f>tbl_performance[[#This Row],[employee_id]]&amp;"-"&amp;TEXT(tbl_performance[[#This Row],[month]],"mm")</f>
        <v>EMP1002-11</v>
      </c>
      <c r="F24" s="60">
        <f>COUNTIF(tbl_performance[employee_month_key],tbl_performance[[#This Row],[employee_month_key]])</f>
        <v>1</v>
      </c>
      <c r="G24" s="61">
        <f>tbl_performance[[#This Row],[achieved]]/tbl_performance[[#This Row],[target]]</f>
        <v>1.3373493975903614</v>
      </c>
      <c r="H24" s="60" t="str" cm="1">
        <f t="array" ref="H2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5" spans="1:8" ht="19.8" x14ac:dyDescent="0.65">
      <c r="A25" s="58" t="s">
        <v>12</v>
      </c>
      <c r="B25" s="59">
        <v>45992</v>
      </c>
      <c r="C25" s="60">
        <v>70</v>
      </c>
      <c r="D25" s="60">
        <v>95</v>
      </c>
      <c r="E25" s="60" t="str">
        <f>tbl_performance[[#This Row],[employee_id]]&amp;"-"&amp;TEXT(tbl_performance[[#This Row],[month]],"mm")</f>
        <v>EMP1002-12</v>
      </c>
      <c r="F25" s="60">
        <f>COUNTIF(tbl_performance[employee_month_key],tbl_performance[[#This Row],[employee_month_key]])</f>
        <v>1</v>
      </c>
      <c r="G25" s="61">
        <f>tbl_performance[[#This Row],[achieved]]/tbl_performance[[#This Row],[target]]</f>
        <v>1.3571428571428572</v>
      </c>
      <c r="H25" s="60" t="str" cm="1">
        <f t="array" ref="H2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6" spans="1:8" ht="19.8" x14ac:dyDescent="0.65">
      <c r="A26" s="58" t="s">
        <v>15</v>
      </c>
      <c r="B26" s="59">
        <v>45658</v>
      </c>
      <c r="C26" s="60">
        <v>46991</v>
      </c>
      <c r="D26" s="60">
        <v>33356</v>
      </c>
      <c r="E26" s="60" t="str">
        <f>tbl_performance[[#This Row],[employee_id]]&amp;"-"&amp;TEXT(tbl_performance[[#This Row],[month]],"mm")</f>
        <v>EMP1003-01</v>
      </c>
      <c r="F26" s="60">
        <f>COUNTIF(tbl_performance[employee_month_key],tbl_performance[[#This Row],[employee_month_key]])</f>
        <v>1</v>
      </c>
      <c r="G26" s="61">
        <f>tbl_performance[[#This Row],[achieved]]/tbl_performance[[#This Row],[target]]</f>
        <v>0.70983805409546508</v>
      </c>
      <c r="H26" s="60" t="str" cm="1">
        <f t="array" ref="H26">_xlfn.IFS(tbl_performance[[#This Row],[performance_pct]]&gt;=1.1,"Excellent",tbl_performance[[#This Row],[performance_pct]]&gt;=1,"Good",tbl_performance[[#This Row],[performance_pct]]&gt;=0.85,"Average",TRUE,"Poor")</f>
        <v>Poor</v>
      </c>
    </row>
    <row r="27" spans="1:8" ht="19.8" x14ac:dyDescent="0.65">
      <c r="A27" s="58" t="s">
        <v>15</v>
      </c>
      <c r="B27" s="59">
        <v>45689</v>
      </c>
      <c r="C27" s="60">
        <v>43702</v>
      </c>
      <c r="D27" s="60">
        <v>34851</v>
      </c>
      <c r="E27" s="60" t="str">
        <f>tbl_performance[[#This Row],[employee_id]]&amp;"-"&amp;TEXT(tbl_performance[[#This Row],[month]],"mm")</f>
        <v>EMP1003-02</v>
      </c>
      <c r="F27" s="60">
        <f>COUNTIF(tbl_performance[employee_month_key],tbl_performance[[#This Row],[employee_month_key]])</f>
        <v>1</v>
      </c>
      <c r="G27" s="61">
        <f>tbl_performance[[#This Row],[achieved]]/tbl_performance[[#This Row],[target]]</f>
        <v>0.7974692233765045</v>
      </c>
      <c r="H27" s="60" t="str" cm="1">
        <f t="array" ref="H27">_xlfn.IFS(tbl_performance[[#This Row],[performance_pct]]&gt;=1.1,"Excellent",tbl_performance[[#This Row],[performance_pct]]&gt;=1,"Good",tbl_performance[[#This Row],[performance_pct]]&gt;=0.85,"Average",TRUE,"Poor")</f>
        <v>Poor</v>
      </c>
    </row>
    <row r="28" spans="1:8" ht="19.8" x14ac:dyDescent="0.65">
      <c r="A28" s="58" t="s">
        <v>15</v>
      </c>
      <c r="B28" s="59">
        <v>45717</v>
      </c>
      <c r="C28" s="60">
        <v>47931</v>
      </c>
      <c r="D28" s="60">
        <v>36814</v>
      </c>
      <c r="E28" s="60" t="str">
        <f>tbl_performance[[#This Row],[employee_id]]&amp;"-"&amp;TEXT(tbl_performance[[#This Row],[month]],"mm")</f>
        <v>EMP1003-03</v>
      </c>
      <c r="F28" s="60">
        <f>COUNTIF(tbl_performance[employee_month_key],tbl_performance[[#This Row],[employee_month_key]])</f>
        <v>1</v>
      </c>
      <c r="G28" s="61">
        <f>tbl_performance[[#This Row],[achieved]]/tbl_performance[[#This Row],[target]]</f>
        <v>0.76806242306649142</v>
      </c>
      <c r="H28" s="60" t="str" cm="1">
        <f t="array" ref="H28">_xlfn.IFS(tbl_performance[[#This Row],[performance_pct]]&gt;=1.1,"Excellent",tbl_performance[[#This Row],[performance_pct]]&gt;=1,"Good",tbl_performance[[#This Row],[performance_pct]]&gt;=0.85,"Average",TRUE,"Poor")</f>
        <v>Poor</v>
      </c>
    </row>
    <row r="29" spans="1:8" ht="19.8" x14ac:dyDescent="0.65">
      <c r="A29" s="58" t="s">
        <v>15</v>
      </c>
      <c r="B29" s="59">
        <v>45748</v>
      </c>
      <c r="C29" s="60">
        <v>46991</v>
      </c>
      <c r="D29" s="60">
        <v>31219</v>
      </c>
      <c r="E29" s="60" t="str">
        <f>tbl_performance[[#This Row],[employee_id]]&amp;"-"&amp;TEXT(tbl_performance[[#This Row],[month]],"mm")</f>
        <v>EMP1003-04</v>
      </c>
      <c r="F29" s="60">
        <f>COUNTIF(tbl_performance[employee_month_key],tbl_performance[[#This Row],[employee_month_key]])</f>
        <v>1</v>
      </c>
      <c r="G29" s="61">
        <f>tbl_performance[[#This Row],[achieved]]/tbl_performance[[#This Row],[target]]</f>
        <v>0.66436126066693624</v>
      </c>
      <c r="H29" s="60" t="str" cm="1">
        <f t="array" ref="H29">_xlfn.IFS(tbl_performance[[#This Row],[performance_pct]]&gt;=1.1,"Excellent",tbl_performance[[#This Row],[performance_pct]]&gt;=1,"Good",tbl_performance[[#This Row],[performance_pct]]&gt;=0.85,"Average",TRUE,"Poor")</f>
        <v>Poor</v>
      </c>
    </row>
    <row r="30" spans="1:8" ht="19.8" x14ac:dyDescent="0.65">
      <c r="A30" s="58" t="s">
        <v>15</v>
      </c>
      <c r="B30" s="59">
        <v>45778</v>
      </c>
      <c r="C30" s="60">
        <v>46991</v>
      </c>
      <c r="D30" s="60">
        <v>38875</v>
      </c>
      <c r="E30" s="60" t="str">
        <f>tbl_performance[[#This Row],[employee_id]]&amp;"-"&amp;TEXT(tbl_performance[[#This Row],[month]],"mm")</f>
        <v>EMP1003-05</v>
      </c>
      <c r="F30" s="60">
        <f>COUNTIF(tbl_performance[employee_month_key],tbl_performance[[#This Row],[employee_month_key]])</f>
        <v>1</v>
      </c>
      <c r="G30" s="61">
        <f>tbl_performance[[#This Row],[achieved]]/tbl_performance[[#This Row],[target]]</f>
        <v>0.82728607605711735</v>
      </c>
      <c r="H30" s="60" t="str" cm="1">
        <f t="array" ref="H30">_xlfn.IFS(tbl_performance[[#This Row],[performance_pct]]&gt;=1.1,"Excellent",tbl_performance[[#This Row],[performance_pct]]&gt;=1,"Good",tbl_performance[[#This Row],[performance_pct]]&gt;=0.85,"Average",TRUE,"Poor")</f>
        <v>Poor</v>
      </c>
    </row>
    <row r="31" spans="1:8" ht="19.8" x14ac:dyDescent="0.65">
      <c r="A31" s="58" t="s">
        <v>15</v>
      </c>
      <c r="B31" s="59">
        <v>45809</v>
      </c>
      <c r="C31" s="60">
        <v>46052</v>
      </c>
      <c r="D31" s="60">
        <v>32937</v>
      </c>
      <c r="E31" s="60" t="str">
        <f>tbl_performance[[#This Row],[employee_id]]&amp;"-"&amp;TEXT(tbl_performance[[#This Row],[month]],"mm")</f>
        <v>EMP1003-06</v>
      </c>
      <c r="F31" s="60">
        <f>COUNTIF(tbl_performance[employee_month_key],tbl_performance[[#This Row],[employee_month_key]])</f>
        <v>1</v>
      </c>
      <c r="G31" s="61">
        <f>tbl_performance[[#This Row],[achieved]]/tbl_performance[[#This Row],[target]]</f>
        <v>0.71521323721011032</v>
      </c>
      <c r="H31" s="60" t="str" cm="1">
        <f t="array" ref="H31">_xlfn.IFS(tbl_performance[[#This Row],[performance_pct]]&gt;=1.1,"Excellent",tbl_performance[[#This Row],[performance_pct]]&gt;=1,"Good",tbl_performance[[#This Row],[performance_pct]]&gt;=0.85,"Average",TRUE,"Poor")</f>
        <v>Poor</v>
      </c>
    </row>
    <row r="32" spans="1:8" ht="19.8" x14ac:dyDescent="0.65">
      <c r="A32" s="58" t="s">
        <v>15</v>
      </c>
      <c r="B32" s="59">
        <v>45839</v>
      </c>
      <c r="C32" s="60">
        <v>46991</v>
      </c>
      <c r="D32" s="60">
        <v>40872</v>
      </c>
      <c r="E32" s="60" t="str">
        <f>tbl_performance[[#This Row],[employee_id]]&amp;"-"&amp;TEXT(tbl_performance[[#This Row],[month]],"mm")</f>
        <v>EMP1003-07</v>
      </c>
      <c r="F32" s="60">
        <f>COUNTIF(tbl_performance[employee_month_key],tbl_performance[[#This Row],[employee_month_key]])</f>
        <v>1</v>
      </c>
      <c r="G32" s="61">
        <f>tbl_performance[[#This Row],[achieved]]/tbl_performance[[#This Row],[target]]</f>
        <v>0.86978357557830221</v>
      </c>
      <c r="H32" s="60" t="str" cm="1">
        <f t="array" ref="H3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3" spans="1:8" ht="19.8" x14ac:dyDescent="0.65">
      <c r="A33" s="58" t="s">
        <v>15</v>
      </c>
      <c r="B33" s="59">
        <v>45870</v>
      </c>
      <c r="C33" s="60">
        <v>45582</v>
      </c>
      <c r="D33" s="60">
        <v>33343</v>
      </c>
      <c r="E33" s="60" t="str">
        <f>tbl_performance[[#This Row],[employee_id]]&amp;"-"&amp;TEXT(tbl_performance[[#This Row],[month]],"mm")</f>
        <v>EMP1003-08</v>
      </c>
      <c r="F33" s="60">
        <f>COUNTIF(tbl_performance[employee_month_key],tbl_performance[[#This Row],[employee_month_key]])</f>
        <v>1</v>
      </c>
      <c r="G33" s="61">
        <f>tbl_performance[[#This Row],[achieved]]/tbl_performance[[#This Row],[target]]</f>
        <v>0.73149488833311394</v>
      </c>
      <c r="H33" s="60" t="str" cm="1">
        <f t="array" ref="H33">_xlfn.IFS(tbl_performance[[#This Row],[performance_pct]]&gt;=1.1,"Excellent",tbl_performance[[#This Row],[performance_pct]]&gt;=1,"Good",tbl_performance[[#This Row],[performance_pct]]&gt;=0.85,"Average",TRUE,"Poor")</f>
        <v>Poor</v>
      </c>
    </row>
    <row r="34" spans="1:8" ht="19.8" x14ac:dyDescent="0.65">
      <c r="A34" s="58" t="s">
        <v>15</v>
      </c>
      <c r="B34" s="59">
        <v>45901</v>
      </c>
      <c r="C34" s="60">
        <v>46991</v>
      </c>
      <c r="D34" s="60">
        <v>46026</v>
      </c>
      <c r="E34" s="60" t="str">
        <f>tbl_performance[[#This Row],[employee_id]]&amp;"-"&amp;TEXT(tbl_performance[[#This Row],[month]],"mm")</f>
        <v>EMP1003-09</v>
      </c>
      <c r="F34" s="60">
        <f>COUNTIF(tbl_performance[employee_month_key],tbl_performance[[#This Row],[employee_month_key]])</f>
        <v>1</v>
      </c>
      <c r="G34" s="61">
        <f>tbl_performance[[#This Row],[achieved]]/tbl_performance[[#This Row],[target]]</f>
        <v>0.97946415271009346</v>
      </c>
      <c r="H34" s="60" t="str" cm="1">
        <f t="array" ref="H3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5" spans="1:8" ht="19.8" x14ac:dyDescent="0.65">
      <c r="A35" s="58" t="s">
        <v>15</v>
      </c>
      <c r="B35" s="59">
        <v>45931</v>
      </c>
      <c r="C35" s="60">
        <v>47931</v>
      </c>
      <c r="D35" s="60">
        <v>35811</v>
      </c>
      <c r="E35" s="60" t="str">
        <f>tbl_performance[[#This Row],[employee_id]]&amp;"-"&amp;TEXT(tbl_performance[[#This Row],[month]],"mm")</f>
        <v>EMP1003-10</v>
      </c>
      <c r="F35" s="60">
        <f>COUNTIF(tbl_performance[employee_month_key],tbl_performance[[#This Row],[employee_month_key]])</f>
        <v>1</v>
      </c>
      <c r="G35" s="61">
        <f>tbl_performance[[#This Row],[achieved]]/tbl_performance[[#This Row],[target]]</f>
        <v>0.74713650873130122</v>
      </c>
      <c r="H35" s="60" t="str" cm="1">
        <f t="array" ref="H35">_xlfn.IFS(tbl_performance[[#This Row],[performance_pct]]&gt;=1.1,"Excellent",tbl_performance[[#This Row],[performance_pct]]&gt;=1,"Good",tbl_performance[[#This Row],[performance_pct]]&gt;=0.85,"Average",TRUE,"Poor")</f>
        <v>Poor</v>
      </c>
    </row>
    <row r="36" spans="1:8" ht="19.8" x14ac:dyDescent="0.65">
      <c r="A36" s="58" t="s">
        <v>15</v>
      </c>
      <c r="B36" s="59">
        <v>45962</v>
      </c>
      <c r="C36" s="60">
        <v>46991</v>
      </c>
      <c r="D36" s="60">
        <v>42022</v>
      </c>
      <c r="E36" s="60" t="str">
        <f>tbl_performance[[#This Row],[employee_id]]&amp;"-"&amp;TEXT(tbl_performance[[#This Row],[month]],"mm")</f>
        <v>EMP1003-11</v>
      </c>
      <c r="F36" s="60">
        <f>COUNTIF(tbl_performance[employee_month_key],tbl_performance[[#This Row],[employee_month_key]])</f>
        <v>1</v>
      </c>
      <c r="G36" s="61">
        <f>tbl_performance[[#This Row],[achieved]]/tbl_performance[[#This Row],[target]]</f>
        <v>0.89425634696005618</v>
      </c>
      <c r="H36" s="60" t="str" cm="1">
        <f t="array" ref="H3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7" spans="1:8" ht="19.8" x14ac:dyDescent="0.65">
      <c r="A37" s="58" t="s">
        <v>15</v>
      </c>
      <c r="B37" s="59">
        <v>45992</v>
      </c>
      <c r="C37" s="60">
        <v>39943</v>
      </c>
      <c r="D37" s="60">
        <v>41893</v>
      </c>
      <c r="E37" s="60" t="str">
        <f>tbl_performance[[#This Row],[employee_id]]&amp;"-"&amp;TEXT(tbl_performance[[#This Row],[month]],"mm")</f>
        <v>EMP1003-12</v>
      </c>
      <c r="F37" s="60">
        <f>COUNTIF(tbl_performance[employee_month_key],tbl_performance[[#This Row],[employee_month_key]])</f>
        <v>1</v>
      </c>
      <c r="G37" s="61">
        <f>tbl_performance[[#This Row],[achieved]]/tbl_performance[[#This Row],[target]]</f>
        <v>1.0488195678842351</v>
      </c>
      <c r="H37" s="60" t="str" cm="1">
        <f t="array" ref="H37">_xlfn.IFS(tbl_performance[[#This Row],[performance_pct]]&gt;=1.1,"Excellent",tbl_performance[[#This Row],[performance_pct]]&gt;=1,"Good",tbl_performance[[#This Row],[performance_pct]]&gt;=0.85,"Average",TRUE,"Poor")</f>
        <v>Good</v>
      </c>
    </row>
    <row r="38" spans="1:8" ht="19.8" x14ac:dyDescent="0.65">
      <c r="A38" s="58" t="s">
        <v>19</v>
      </c>
      <c r="B38" s="59">
        <v>45658</v>
      </c>
      <c r="C38" s="60">
        <v>849</v>
      </c>
      <c r="D38" s="60">
        <v>721</v>
      </c>
      <c r="E38" s="60" t="str">
        <f>tbl_performance[[#This Row],[employee_id]]&amp;"-"&amp;TEXT(tbl_performance[[#This Row],[month]],"mm")</f>
        <v>EMP1004-01</v>
      </c>
      <c r="F38" s="60">
        <f>COUNTIF(tbl_performance[employee_month_key],tbl_performance[[#This Row],[employee_month_key]])</f>
        <v>1</v>
      </c>
      <c r="G38" s="61">
        <f>tbl_performance[[#This Row],[achieved]]/tbl_performance[[#This Row],[target]]</f>
        <v>0.84923439340400475</v>
      </c>
      <c r="H38" s="60" t="str" cm="1">
        <f t="array" ref="H38">_xlfn.IFS(tbl_performance[[#This Row],[performance_pct]]&gt;=1.1,"Excellent",tbl_performance[[#This Row],[performance_pct]]&gt;=1,"Good",tbl_performance[[#This Row],[performance_pct]]&gt;=0.85,"Average",TRUE,"Poor")</f>
        <v>Poor</v>
      </c>
    </row>
    <row r="39" spans="1:8" ht="19.8" x14ac:dyDescent="0.65">
      <c r="A39" s="58" t="s">
        <v>19</v>
      </c>
      <c r="B39" s="59">
        <v>45689</v>
      </c>
      <c r="C39" s="60">
        <v>790</v>
      </c>
      <c r="D39" s="60">
        <v>722</v>
      </c>
      <c r="E39" s="60" t="str">
        <f>tbl_performance[[#This Row],[employee_id]]&amp;"-"&amp;TEXT(tbl_performance[[#This Row],[month]],"mm")</f>
        <v>EMP1004-02</v>
      </c>
      <c r="F39" s="60">
        <f>COUNTIF(tbl_performance[employee_month_key],tbl_performance[[#This Row],[employee_month_key]])</f>
        <v>1</v>
      </c>
      <c r="G39" s="61">
        <f>tbl_performance[[#This Row],[achieved]]/tbl_performance[[#This Row],[target]]</f>
        <v>0.91392405063291138</v>
      </c>
      <c r="H39" s="60" t="str" cm="1">
        <f t="array" ref="H3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0" spans="1:8" ht="19.8" x14ac:dyDescent="0.65">
      <c r="A40" s="58" t="s">
        <v>19</v>
      </c>
      <c r="B40" s="59">
        <v>45717</v>
      </c>
      <c r="C40" s="60">
        <v>866</v>
      </c>
      <c r="D40" s="60">
        <v>641</v>
      </c>
      <c r="E40" s="60" t="str">
        <f>tbl_performance[[#This Row],[employee_id]]&amp;"-"&amp;TEXT(tbl_performance[[#This Row],[month]],"mm")</f>
        <v>EMP1004-03</v>
      </c>
      <c r="F40" s="60">
        <f>COUNTIF(tbl_performance[employee_month_key],tbl_performance[[#This Row],[employee_month_key]])</f>
        <v>1</v>
      </c>
      <c r="G40" s="61">
        <f>tbl_performance[[#This Row],[achieved]]/tbl_performance[[#This Row],[target]]</f>
        <v>0.74018475750577373</v>
      </c>
      <c r="H40" s="60" t="str" cm="1">
        <f t="array" ref="H40">_xlfn.IFS(tbl_performance[[#This Row],[performance_pct]]&gt;=1.1,"Excellent",tbl_performance[[#This Row],[performance_pct]]&gt;=1,"Good",tbl_performance[[#This Row],[performance_pct]]&gt;=0.85,"Average",TRUE,"Poor")</f>
        <v>Poor</v>
      </c>
    </row>
    <row r="41" spans="1:8" ht="19.8" x14ac:dyDescent="0.65">
      <c r="A41" s="58" t="s">
        <v>19</v>
      </c>
      <c r="B41" s="59">
        <v>45748</v>
      </c>
      <c r="C41" s="60">
        <v>849</v>
      </c>
      <c r="D41" s="60">
        <v>721</v>
      </c>
      <c r="E41" s="60" t="str">
        <f>tbl_performance[[#This Row],[employee_id]]&amp;"-"&amp;TEXT(tbl_performance[[#This Row],[month]],"mm")</f>
        <v>EMP1004-04</v>
      </c>
      <c r="F41" s="60">
        <f>COUNTIF(tbl_performance[employee_month_key],tbl_performance[[#This Row],[employee_month_key]])</f>
        <v>1</v>
      </c>
      <c r="G41" s="61">
        <f>tbl_performance[[#This Row],[achieved]]/tbl_performance[[#This Row],[target]]</f>
        <v>0.84923439340400475</v>
      </c>
      <c r="H41" s="60" t="str" cm="1">
        <f t="array" ref="H41">_xlfn.IFS(tbl_performance[[#This Row],[performance_pct]]&gt;=1.1,"Excellent",tbl_performance[[#This Row],[performance_pct]]&gt;=1,"Good",tbl_performance[[#This Row],[performance_pct]]&gt;=0.85,"Average",TRUE,"Poor")</f>
        <v>Poor</v>
      </c>
    </row>
    <row r="42" spans="1:8" ht="19.8" x14ac:dyDescent="0.65">
      <c r="A42" s="58" t="s">
        <v>19</v>
      </c>
      <c r="B42" s="59">
        <v>45778</v>
      </c>
      <c r="C42" s="60">
        <v>849</v>
      </c>
      <c r="D42" s="60">
        <v>726</v>
      </c>
      <c r="E42" s="60" t="str">
        <f>tbl_performance[[#This Row],[employee_id]]&amp;"-"&amp;TEXT(tbl_performance[[#This Row],[month]],"mm")</f>
        <v>EMP1004-05</v>
      </c>
      <c r="F42" s="60">
        <f>COUNTIF(tbl_performance[employee_month_key],tbl_performance[[#This Row],[employee_month_key]])</f>
        <v>1</v>
      </c>
      <c r="G42" s="61">
        <f>tbl_performance[[#This Row],[achieved]]/tbl_performance[[#This Row],[target]]</f>
        <v>0.85512367491166075</v>
      </c>
      <c r="H42" s="60" t="str" cm="1">
        <f t="array" ref="H4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" spans="1:8" ht="19.8" x14ac:dyDescent="0.65">
      <c r="A43" s="58" t="s">
        <v>19</v>
      </c>
      <c r="B43" s="59">
        <v>45809</v>
      </c>
      <c r="C43" s="60">
        <v>832</v>
      </c>
      <c r="D43" s="60">
        <v>738</v>
      </c>
      <c r="E43" s="60" t="str">
        <f>tbl_performance[[#This Row],[employee_id]]&amp;"-"&amp;TEXT(tbl_performance[[#This Row],[month]],"mm")</f>
        <v>EMP1004-06</v>
      </c>
      <c r="F43" s="60">
        <f>COUNTIF(tbl_performance[employee_month_key],tbl_performance[[#This Row],[employee_month_key]])</f>
        <v>1</v>
      </c>
      <c r="G43" s="61">
        <f>tbl_performance[[#This Row],[achieved]]/tbl_performance[[#This Row],[target]]</f>
        <v>0.88701923076923073</v>
      </c>
      <c r="H43" s="60" t="str" cm="1">
        <f t="array" ref="H4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" spans="1:8" ht="19.8" x14ac:dyDescent="0.65">
      <c r="A44" s="58" t="s">
        <v>19</v>
      </c>
      <c r="B44" s="59">
        <v>45839</v>
      </c>
      <c r="C44" s="60">
        <v>849</v>
      </c>
      <c r="D44" s="60">
        <v>566</v>
      </c>
      <c r="E44" s="60" t="str">
        <f>tbl_performance[[#This Row],[employee_id]]&amp;"-"&amp;TEXT(tbl_performance[[#This Row],[month]],"mm")</f>
        <v>EMP1004-07</v>
      </c>
      <c r="F44" s="60">
        <f>COUNTIF(tbl_performance[employee_month_key],tbl_performance[[#This Row],[employee_month_key]])</f>
        <v>1</v>
      </c>
      <c r="G44" s="61">
        <f>tbl_performance[[#This Row],[achieved]]/tbl_performance[[#This Row],[target]]</f>
        <v>0.66666666666666663</v>
      </c>
      <c r="H44" s="60" t="str" cm="1">
        <f t="array" ref="H44">_xlfn.IFS(tbl_performance[[#This Row],[performance_pct]]&gt;=1.1,"Excellent",tbl_performance[[#This Row],[performance_pct]]&gt;=1,"Good",tbl_performance[[#This Row],[performance_pct]]&gt;=0.85,"Average",TRUE,"Poor")</f>
        <v>Poor</v>
      </c>
    </row>
    <row r="45" spans="1:8" ht="19.8" x14ac:dyDescent="0.65">
      <c r="A45" s="58" t="s">
        <v>19</v>
      </c>
      <c r="B45" s="59">
        <v>45870</v>
      </c>
      <c r="C45" s="60">
        <v>824</v>
      </c>
      <c r="D45" s="60">
        <v>563</v>
      </c>
      <c r="E45" s="60" t="str">
        <f>tbl_performance[[#This Row],[employee_id]]&amp;"-"&amp;TEXT(tbl_performance[[#This Row],[month]],"mm")</f>
        <v>EMP1004-08</v>
      </c>
      <c r="F45" s="60">
        <f>COUNTIF(tbl_performance[employee_month_key],tbl_performance[[#This Row],[employee_month_key]])</f>
        <v>1</v>
      </c>
      <c r="G45" s="61">
        <f>tbl_performance[[#This Row],[achieved]]/tbl_performance[[#This Row],[target]]</f>
        <v>0.68325242718446599</v>
      </c>
      <c r="H45" s="60" t="str" cm="1">
        <f t="array" ref="H45">_xlfn.IFS(tbl_performance[[#This Row],[performance_pct]]&gt;=1.1,"Excellent",tbl_performance[[#This Row],[performance_pct]]&gt;=1,"Good",tbl_performance[[#This Row],[performance_pct]]&gt;=0.85,"Average",TRUE,"Poor")</f>
        <v>Poor</v>
      </c>
    </row>
    <row r="46" spans="1:8" ht="19.8" x14ac:dyDescent="0.65">
      <c r="A46" s="58" t="s">
        <v>19</v>
      </c>
      <c r="B46" s="59">
        <v>45901</v>
      </c>
      <c r="C46" s="60">
        <v>849</v>
      </c>
      <c r="D46" s="60">
        <v>742</v>
      </c>
      <c r="E46" s="60" t="str">
        <f>tbl_performance[[#This Row],[employee_id]]&amp;"-"&amp;TEXT(tbl_performance[[#This Row],[month]],"mm")</f>
        <v>EMP1004-09</v>
      </c>
      <c r="F46" s="60">
        <f>COUNTIF(tbl_performance[employee_month_key],tbl_performance[[#This Row],[employee_month_key]])</f>
        <v>1</v>
      </c>
      <c r="G46" s="61">
        <f>tbl_performance[[#This Row],[achieved]]/tbl_performance[[#This Row],[target]]</f>
        <v>0.87396937573616018</v>
      </c>
      <c r="H46" s="60" t="str" cm="1">
        <f t="array" ref="H4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7" spans="1:8" ht="19.8" x14ac:dyDescent="0.65">
      <c r="A47" s="58" t="s">
        <v>19</v>
      </c>
      <c r="B47" s="59">
        <v>45931</v>
      </c>
      <c r="C47" s="60">
        <v>866</v>
      </c>
      <c r="D47" s="60">
        <v>746</v>
      </c>
      <c r="E47" s="60" t="str">
        <f>tbl_performance[[#This Row],[employee_id]]&amp;"-"&amp;TEXT(tbl_performance[[#This Row],[month]],"mm")</f>
        <v>EMP1004-10</v>
      </c>
      <c r="F47" s="60">
        <f>COUNTIF(tbl_performance[employee_month_key],tbl_performance[[#This Row],[employee_month_key]])</f>
        <v>1</v>
      </c>
      <c r="G47" s="61">
        <f>tbl_performance[[#This Row],[achieved]]/tbl_performance[[#This Row],[target]]</f>
        <v>0.86143187066974591</v>
      </c>
      <c r="H47" s="60" t="str" cm="1">
        <f t="array" ref="H4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8" spans="1:8" ht="19.8" x14ac:dyDescent="0.65">
      <c r="A48" s="58" t="s">
        <v>19</v>
      </c>
      <c r="B48" s="59">
        <v>45962</v>
      </c>
      <c r="C48" s="60">
        <v>849</v>
      </c>
      <c r="D48" s="60">
        <v>773</v>
      </c>
      <c r="E48" s="60" t="str">
        <f>tbl_performance[[#This Row],[employee_id]]&amp;"-"&amp;TEXT(tbl_performance[[#This Row],[month]],"mm")</f>
        <v>EMP1004-11</v>
      </c>
      <c r="F48" s="60">
        <f>COUNTIF(tbl_performance[employee_month_key],tbl_performance[[#This Row],[employee_month_key]])</f>
        <v>1</v>
      </c>
      <c r="G48" s="61">
        <f>tbl_performance[[#This Row],[achieved]]/tbl_performance[[#This Row],[target]]</f>
        <v>0.91048292108362783</v>
      </c>
      <c r="H48" s="60" t="str" cm="1">
        <f t="array" ref="H4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" spans="1:8" ht="19.8" x14ac:dyDescent="0.65">
      <c r="A49" s="58" t="s">
        <v>19</v>
      </c>
      <c r="B49" s="59">
        <v>45992</v>
      </c>
      <c r="C49" s="60">
        <v>722</v>
      </c>
      <c r="D49" s="60">
        <v>655</v>
      </c>
      <c r="E49" s="60" t="str">
        <f>tbl_performance[[#This Row],[employee_id]]&amp;"-"&amp;TEXT(tbl_performance[[#This Row],[month]],"mm")</f>
        <v>EMP1004-12</v>
      </c>
      <c r="F49" s="60">
        <f>COUNTIF(tbl_performance[employee_month_key],tbl_performance[[#This Row],[employee_month_key]])</f>
        <v>1</v>
      </c>
      <c r="G49" s="61">
        <f>tbl_performance[[#This Row],[achieved]]/tbl_performance[[#This Row],[target]]</f>
        <v>0.90720221606648199</v>
      </c>
      <c r="H49" s="60" t="str" cm="1">
        <f t="array" ref="H4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" spans="1:8" ht="19.8" x14ac:dyDescent="0.65">
      <c r="A50" s="58" t="s">
        <v>23</v>
      </c>
      <c r="B50" s="59">
        <v>45658</v>
      </c>
      <c r="C50" s="60">
        <v>114</v>
      </c>
      <c r="D50" s="60">
        <v>104</v>
      </c>
      <c r="E50" s="60" t="str">
        <f>tbl_performance[[#This Row],[employee_id]]&amp;"-"&amp;TEXT(tbl_performance[[#This Row],[month]],"mm")</f>
        <v>EMP1005-01</v>
      </c>
      <c r="F50" s="60">
        <f>COUNTIF(tbl_performance[employee_month_key],tbl_performance[[#This Row],[employee_month_key]])</f>
        <v>1</v>
      </c>
      <c r="G50" s="61">
        <f>tbl_performance[[#This Row],[achieved]]/tbl_performance[[#This Row],[target]]</f>
        <v>0.91228070175438591</v>
      </c>
      <c r="H50" s="60" t="str" cm="1">
        <f t="array" ref="H5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1" spans="1:8" ht="19.8" x14ac:dyDescent="0.65">
      <c r="A51" s="58" t="s">
        <v>23</v>
      </c>
      <c r="B51" s="59">
        <v>45689</v>
      </c>
      <c r="C51" s="60">
        <v>106</v>
      </c>
      <c r="D51" s="60">
        <v>97</v>
      </c>
      <c r="E51" s="60" t="str">
        <f>tbl_performance[[#This Row],[employee_id]]&amp;"-"&amp;TEXT(tbl_performance[[#This Row],[month]],"mm")</f>
        <v>EMP1005-02</v>
      </c>
      <c r="F51" s="60">
        <f>COUNTIF(tbl_performance[employee_month_key],tbl_performance[[#This Row],[employee_month_key]])</f>
        <v>1</v>
      </c>
      <c r="G51" s="61">
        <f>tbl_performance[[#This Row],[achieved]]/tbl_performance[[#This Row],[target]]</f>
        <v>0.91509433962264153</v>
      </c>
      <c r="H51" s="60" t="str" cm="1">
        <f t="array" ref="H5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2" spans="1:8" ht="19.8" x14ac:dyDescent="0.65">
      <c r="A52" s="58" t="s">
        <v>23</v>
      </c>
      <c r="B52" s="59">
        <v>45717</v>
      </c>
      <c r="C52" s="60">
        <v>116</v>
      </c>
      <c r="D52" s="60">
        <v>108</v>
      </c>
      <c r="E52" s="60" t="str">
        <f>tbl_performance[[#This Row],[employee_id]]&amp;"-"&amp;TEXT(tbl_performance[[#This Row],[month]],"mm")</f>
        <v>EMP1005-03</v>
      </c>
      <c r="F52" s="60">
        <f>COUNTIF(tbl_performance[employee_month_key],tbl_performance[[#This Row],[employee_month_key]])</f>
        <v>1</v>
      </c>
      <c r="G52" s="61">
        <f>tbl_performance[[#This Row],[achieved]]/tbl_performance[[#This Row],[target]]</f>
        <v>0.93103448275862066</v>
      </c>
      <c r="H52" s="60" t="str" cm="1">
        <f t="array" ref="H5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3" spans="1:8" ht="19.8" x14ac:dyDescent="0.65">
      <c r="A53" s="58" t="s">
        <v>23</v>
      </c>
      <c r="B53" s="59">
        <v>45748</v>
      </c>
      <c r="C53" s="60">
        <v>114</v>
      </c>
      <c r="D53" s="60">
        <v>117</v>
      </c>
      <c r="E53" s="60" t="str">
        <f>tbl_performance[[#This Row],[employee_id]]&amp;"-"&amp;TEXT(tbl_performance[[#This Row],[month]],"mm")</f>
        <v>EMP1005-04</v>
      </c>
      <c r="F53" s="60">
        <f>COUNTIF(tbl_performance[employee_month_key],tbl_performance[[#This Row],[employee_month_key]])</f>
        <v>1</v>
      </c>
      <c r="G53" s="61">
        <f>tbl_performance[[#This Row],[achieved]]/tbl_performance[[#This Row],[target]]</f>
        <v>1.0263157894736843</v>
      </c>
      <c r="H53" s="60" t="str" cm="1">
        <f t="array" ref="H53">_xlfn.IFS(tbl_performance[[#This Row],[performance_pct]]&gt;=1.1,"Excellent",tbl_performance[[#This Row],[performance_pct]]&gt;=1,"Good",tbl_performance[[#This Row],[performance_pct]]&gt;=0.85,"Average",TRUE,"Poor")</f>
        <v>Good</v>
      </c>
    </row>
    <row r="54" spans="1:8" ht="19.8" x14ac:dyDescent="0.65">
      <c r="A54" s="58" t="s">
        <v>23</v>
      </c>
      <c r="B54" s="59">
        <v>45778</v>
      </c>
      <c r="C54" s="60">
        <v>114</v>
      </c>
      <c r="D54" s="60">
        <v>106</v>
      </c>
      <c r="E54" s="60" t="str">
        <f>tbl_performance[[#This Row],[employee_id]]&amp;"-"&amp;TEXT(tbl_performance[[#This Row],[month]],"mm")</f>
        <v>EMP1005-05</v>
      </c>
      <c r="F54" s="60">
        <f>COUNTIF(tbl_performance[employee_month_key],tbl_performance[[#This Row],[employee_month_key]])</f>
        <v>1</v>
      </c>
      <c r="G54" s="61">
        <f>tbl_performance[[#This Row],[achieved]]/tbl_performance[[#This Row],[target]]</f>
        <v>0.92982456140350878</v>
      </c>
      <c r="H54" s="60" t="str" cm="1">
        <f t="array" ref="H5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5" spans="1:8" ht="19.8" x14ac:dyDescent="0.65">
      <c r="A55" s="58" t="s">
        <v>23</v>
      </c>
      <c r="B55" s="59">
        <v>45809</v>
      </c>
      <c r="C55" s="60">
        <v>112</v>
      </c>
      <c r="D55" s="60">
        <v>97</v>
      </c>
      <c r="E55" s="60" t="str">
        <f>tbl_performance[[#This Row],[employee_id]]&amp;"-"&amp;TEXT(tbl_performance[[#This Row],[month]],"mm")</f>
        <v>EMP1005-06</v>
      </c>
      <c r="F55" s="60">
        <f>COUNTIF(tbl_performance[employee_month_key],tbl_performance[[#This Row],[employee_month_key]])</f>
        <v>1</v>
      </c>
      <c r="G55" s="61">
        <f>tbl_performance[[#This Row],[achieved]]/tbl_performance[[#This Row],[target]]</f>
        <v>0.8660714285714286</v>
      </c>
      <c r="H55" s="60" t="str" cm="1">
        <f t="array" ref="H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6" spans="1:8" ht="19.8" x14ac:dyDescent="0.65">
      <c r="A56" s="58" t="s">
        <v>23</v>
      </c>
      <c r="B56" s="59">
        <v>45839</v>
      </c>
      <c r="C56" s="60">
        <v>114</v>
      </c>
      <c r="D56" s="60">
        <v>108</v>
      </c>
      <c r="E56" s="60" t="str">
        <f>tbl_performance[[#This Row],[employee_id]]&amp;"-"&amp;TEXT(tbl_performance[[#This Row],[month]],"mm")</f>
        <v>EMP1005-07</v>
      </c>
      <c r="F56" s="60">
        <f>COUNTIF(tbl_performance[employee_month_key],tbl_performance[[#This Row],[employee_month_key]])</f>
        <v>1</v>
      </c>
      <c r="G56" s="61">
        <f>tbl_performance[[#This Row],[achieved]]/tbl_performance[[#This Row],[target]]</f>
        <v>0.94736842105263153</v>
      </c>
      <c r="H56" s="60" t="str" cm="1">
        <f t="array" ref="H5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" spans="1:8" ht="19.8" x14ac:dyDescent="0.65">
      <c r="A57" s="58" t="s">
        <v>23</v>
      </c>
      <c r="B57" s="59">
        <v>45870</v>
      </c>
      <c r="C57" s="60">
        <v>111</v>
      </c>
      <c r="D57" s="60">
        <v>93</v>
      </c>
      <c r="E57" s="60" t="str">
        <f>tbl_performance[[#This Row],[employee_id]]&amp;"-"&amp;TEXT(tbl_performance[[#This Row],[month]],"mm")</f>
        <v>EMP1005-08</v>
      </c>
      <c r="F57" s="60">
        <f>COUNTIF(tbl_performance[employee_month_key],tbl_performance[[#This Row],[employee_month_key]])</f>
        <v>1</v>
      </c>
      <c r="G57" s="61">
        <f>tbl_performance[[#This Row],[achieved]]/tbl_performance[[#This Row],[target]]</f>
        <v>0.83783783783783783</v>
      </c>
      <c r="H57" s="60" t="str" cm="1">
        <f t="array" ref="H57">_xlfn.IFS(tbl_performance[[#This Row],[performance_pct]]&gt;=1.1,"Excellent",tbl_performance[[#This Row],[performance_pct]]&gt;=1,"Good",tbl_performance[[#This Row],[performance_pct]]&gt;=0.85,"Average",TRUE,"Poor")</f>
        <v>Poor</v>
      </c>
    </row>
    <row r="58" spans="1:8" ht="19.8" x14ac:dyDescent="0.65">
      <c r="A58" s="58" t="s">
        <v>23</v>
      </c>
      <c r="B58" s="59">
        <v>45901</v>
      </c>
      <c r="C58" s="60">
        <v>114</v>
      </c>
      <c r="D58" s="60">
        <v>109</v>
      </c>
      <c r="E58" s="60" t="str">
        <f>tbl_performance[[#This Row],[employee_id]]&amp;"-"&amp;TEXT(tbl_performance[[#This Row],[month]],"mm")</f>
        <v>EMP1005-09</v>
      </c>
      <c r="F58" s="60">
        <f>COUNTIF(tbl_performance[employee_month_key],tbl_performance[[#This Row],[employee_month_key]])</f>
        <v>1</v>
      </c>
      <c r="G58" s="61">
        <f>tbl_performance[[#This Row],[achieved]]/tbl_performance[[#This Row],[target]]</f>
        <v>0.95614035087719296</v>
      </c>
      <c r="H58" s="60" t="str" cm="1">
        <f t="array" ref="H5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" spans="1:8" ht="19.8" x14ac:dyDescent="0.65">
      <c r="A59" s="58" t="s">
        <v>23</v>
      </c>
      <c r="B59" s="59">
        <v>45931</v>
      </c>
      <c r="C59" s="60">
        <v>116</v>
      </c>
      <c r="D59" s="60">
        <v>114</v>
      </c>
      <c r="E59" s="60" t="str">
        <f>tbl_performance[[#This Row],[employee_id]]&amp;"-"&amp;TEXT(tbl_performance[[#This Row],[month]],"mm")</f>
        <v>EMP1005-10</v>
      </c>
      <c r="F59" s="60">
        <f>COUNTIF(tbl_performance[employee_month_key],tbl_performance[[#This Row],[employee_month_key]])</f>
        <v>1</v>
      </c>
      <c r="G59" s="61">
        <f>tbl_performance[[#This Row],[achieved]]/tbl_performance[[#This Row],[target]]</f>
        <v>0.98275862068965514</v>
      </c>
      <c r="H59" s="60" t="str" cm="1">
        <f t="array" ref="H5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0" spans="1:8" ht="19.8" x14ac:dyDescent="0.65">
      <c r="A60" s="58" t="s">
        <v>23</v>
      </c>
      <c r="B60" s="59">
        <v>45962</v>
      </c>
      <c r="C60" s="60">
        <v>114</v>
      </c>
      <c r="D60" s="60">
        <v>108</v>
      </c>
      <c r="E60" s="60" t="str">
        <f>tbl_performance[[#This Row],[employee_id]]&amp;"-"&amp;TEXT(tbl_performance[[#This Row],[month]],"mm")</f>
        <v>EMP1005-11</v>
      </c>
      <c r="F60" s="60">
        <f>COUNTIF(tbl_performance[employee_month_key],tbl_performance[[#This Row],[employee_month_key]])</f>
        <v>1</v>
      </c>
      <c r="G60" s="61">
        <f>tbl_performance[[#This Row],[achieved]]/tbl_performance[[#This Row],[target]]</f>
        <v>0.94736842105263153</v>
      </c>
      <c r="H60" s="60" t="str" cm="1">
        <f t="array" ref="H6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1" spans="1:8" ht="19.8" x14ac:dyDescent="0.65">
      <c r="A61" s="58" t="s">
        <v>23</v>
      </c>
      <c r="B61" s="59">
        <v>45992</v>
      </c>
      <c r="C61" s="60">
        <v>97</v>
      </c>
      <c r="D61" s="60">
        <v>95</v>
      </c>
      <c r="E61" s="60" t="str">
        <f>tbl_performance[[#This Row],[employee_id]]&amp;"-"&amp;TEXT(tbl_performance[[#This Row],[month]],"mm")</f>
        <v>EMP1005-12</v>
      </c>
      <c r="F61" s="60">
        <f>COUNTIF(tbl_performance[employee_month_key],tbl_performance[[#This Row],[employee_month_key]])</f>
        <v>1</v>
      </c>
      <c r="G61" s="61">
        <f>tbl_performance[[#This Row],[achieved]]/tbl_performance[[#This Row],[target]]</f>
        <v>0.97938144329896903</v>
      </c>
      <c r="H61" s="60" t="str" cm="1">
        <f t="array" ref="H6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2" spans="1:8" ht="19.8" x14ac:dyDescent="0.65">
      <c r="A62" s="58" t="s">
        <v>26</v>
      </c>
      <c r="B62" s="59">
        <v>45658</v>
      </c>
      <c r="C62" s="60">
        <v>21</v>
      </c>
      <c r="D62" s="60">
        <v>22</v>
      </c>
      <c r="E62" s="60" t="str">
        <f>tbl_performance[[#This Row],[employee_id]]&amp;"-"&amp;TEXT(tbl_performance[[#This Row],[month]],"mm")</f>
        <v>EMP1006-01</v>
      </c>
      <c r="F62" s="60">
        <f>COUNTIF(tbl_performance[employee_month_key],tbl_performance[[#This Row],[employee_month_key]])</f>
        <v>1</v>
      </c>
      <c r="G62" s="61">
        <f>tbl_performance[[#This Row],[achieved]]/tbl_performance[[#This Row],[target]]</f>
        <v>1.0476190476190477</v>
      </c>
      <c r="H62" s="60" t="str" cm="1">
        <f t="array" ref="H62">_xlfn.IFS(tbl_performance[[#This Row],[performance_pct]]&gt;=1.1,"Excellent",tbl_performance[[#This Row],[performance_pct]]&gt;=1,"Good",tbl_performance[[#This Row],[performance_pct]]&gt;=0.85,"Average",TRUE,"Poor")</f>
        <v>Good</v>
      </c>
    </row>
    <row r="63" spans="1:8" ht="19.8" x14ac:dyDescent="0.65">
      <c r="A63" s="58" t="s">
        <v>26</v>
      </c>
      <c r="B63" s="59">
        <v>45689</v>
      </c>
      <c r="C63" s="60">
        <v>19</v>
      </c>
      <c r="D63" s="60">
        <v>21</v>
      </c>
      <c r="E63" s="60" t="str">
        <f>tbl_performance[[#This Row],[employee_id]]&amp;"-"&amp;TEXT(tbl_performance[[#This Row],[month]],"mm")</f>
        <v>EMP1006-02</v>
      </c>
      <c r="F63" s="60">
        <f>COUNTIF(tbl_performance[employee_month_key],tbl_performance[[#This Row],[employee_month_key]])</f>
        <v>1</v>
      </c>
      <c r="G63" s="61">
        <f>tbl_performance[[#This Row],[achieved]]/tbl_performance[[#This Row],[target]]</f>
        <v>1.1052631578947369</v>
      </c>
      <c r="H63" s="60" t="str" cm="1">
        <f t="array" ref="H6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4" spans="1:8" ht="19.8" x14ac:dyDescent="0.65">
      <c r="A64" s="58" t="s">
        <v>26</v>
      </c>
      <c r="B64" s="59">
        <v>45717</v>
      </c>
      <c r="C64" s="60">
        <v>21</v>
      </c>
      <c r="D64" s="60">
        <v>21</v>
      </c>
      <c r="E64" s="60" t="str">
        <f>tbl_performance[[#This Row],[employee_id]]&amp;"-"&amp;TEXT(tbl_performance[[#This Row],[month]],"mm")</f>
        <v>EMP1006-03</v>
      </c>
      <c r="F64" s="60">
        <f>COUNTIF(tbl_performance[employee_month_key],tbl_performance[[#This Row],[employee_month_key]])</f>
        <v>1</v>
      </c>
      <c r="G64" s="61">
        <f>tbl_performance[[#This Row],[achieved]]/tbl_performance[[#This Row],[target]]</f>
        <v>1</v>
      </c>
      <c r="H64" s="60" t="str" cm="1">
        <f t="array" ref="H64">_xlfn.IFS(tbl_performance[[#This Row],[performance_pct]]&gt;=1.1,"Excellent",tbl_performance[[#This Row],[performance_pct]]&gt;=1,"Good",tbl_performance[[#This Row],[performance_pct]]&gt;=0.85,"Average",TRUE,"Poor")</f>
        <v>Good</v>
      </c>
    </row>
    <row r="65" spans="1:8" ht="19.8" x14ac:dyDescent="0.65">
      <c r="A65" s="58" t="s">
        <v>26</v>
      </c>
      <c r="B65" s="59">
        <v>45748</v>
      </c>
      <c r="C65" s="60">
        <v>21</v>
      </c>
      <c r="D65" s="60">
        <v>21</v>
      </c>
      <c r="E65" s="60" t="str">
        <f>tbl_performance[[#This Row],[employee_id]]&amp;"-"&amp;TEXT(tbl_performance[[#This Row],[month]],"mm")</f>
        <v>EMP1006-04</v>
      </c>
      <c r="F65" s="60">
        <f>COUNTIF(tbl_performance[employee_month_key],tbl_performance[[#This Row],[employee_month_key]])</f>
        <v>1</v>
      </c>
      <c r="G65" s="61">
        <f>tbl_performance[[#This Row],[achieved]]/tbl_performance[[#This Row],[target]]</f>
        <v>1</v>
      </c>
      <c r="H65" s="60" t="str" cm="1">
        <f t="array" ref="H65">_xlfn.IFS(tbl_performance[[#This Row],[performance_pct]]&gt;=1.1,"Excellent",tbl_performance[[#This Row],[performance_pct]]&gt;=1,"Good",tbl_performance[[#This Row],[performance_pct]]&gt;=0.85,"Average",TRUE,"Poor")</f>
        <v>Good</v>
      </c>
    </row>
    <row r="66" spans="1:8" ht="19.8" x14ac:dyDescent="0.65">
      <c r="A66" s="58" t="s">
        <v>26</v>
      </c>
      <c r="B66" s="59">
        <v>45778</v>
      </c>
      <c r="C66" s="60">
        <v>21</v>
      </c>
      <c r="D66" s="60">
        <v>21</v>
      </c>
      <c r="E66" s="60" t="str">
        <f>tbl_performance[[#This Row],[employee_id]]&amp;"-"&amp;TEXT(tbl_performance[[#This Row],[month]],"mm")</f>
        <v>EMP1006-05</v>
      </c>
      <c r="F66" s="60">
        <f>COUNTIF(tbl_performance[employee_month_key],tbl_performance[[#This Row],[employee_month_key]])</f>
        <v>1</v>
      </c>
      <c r="G66" s="61">
        <f>tbl_performance[[#This Row],[achieved]]/tbl_performance[[#This Row],[target]]</f>
        <v>1</v>
      </c>
      <c r="H66" s="60" t="str" cm="1">
        <f t="array" ref="H66">_xlfn.IFS(tbl_performance[[#This Row],[performance_pct]]&gt;=1.1,"Excellent",tbl_performance[[#This Row],[performance_pct]]&gt;=1,"Good",tbl_performance[[#This Row],[performance_pct]]&gt;=0.85,"Average",TRUE,"Poor")</f>
        <v>Good</v>
      </c>
    </row>
    <row r="67" spans="1:8" ht="19.8" x14ac:dyDescent="0.65">
      <c r="A67" s="58" t="s">
        <v>26</v>
      </c>
      <c r="B67" s="59">
        <v>45809</v>
      </c>
      <c r="C67" s="60">
        <v>20</v>
      </c>
      <c r="D67" s="60">
        <v>19</v>
      </c>
      <c r="E67" s="60" t="str">
        <f>tbl_performance[[#This Row],[employee_id]]&amp;"-"&amp;TEXT(tbl_performance[[#This Row],[month]],"mm")</f>
        <v>EMP1006-06</v>
      </c>
      <c r="F67" s="60">
        <f>COUNTIF(tbl_performance[employee_month_key],tbl_performance[[#This Row],[employee_month_key]])</f>
        <v>1</v>
      </c>
      <c r="G67" s="61">
        <f>tbl_performance[[#This Row],[achieved]]/tbl_performance[[#This Row],[target]]</f>
        <v>0.95</v>
      </c>
      <c r="H67" s="60" t="str" cm="1">
        <f t="array" ref="H6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" spans="1:8" ht="19.8" x14ac:dyDescent="0.65">
      <c r="A68" s="58" t="s">
        <v>26</v>
      </c>
      <c r="B68" s="59">
        <v>45839</v>
      </c>
      <c r="C68" s="60">
        <v>21</v>
      </c>
      <c r="D68" s="60">
        <v>22</v>
      </c>
      <c r="E68" s="60" t="str">
        <f>tbl_performance[[#This Row],[employee_id]]&amp;"-"&amp;TEXT(tbl_performance[[#This Row],[month]],"mm")</f>
        <v>EMP1006-07</v>
      </c>
      <c r="F68" s="60">
        <f>COUNTIF(tbl_performance[employee_month_key],tbl_performance[[#This Row],[employee_month_key]])</f>
        <v>1</v>
      </c>
      <c r="G68" s="61">
        <f>tbl_performance[[#This Row],[achieved]]/tbl_performance[[#This Row],[target]]</f>
        <v>1.0476190476190477</v>
      </c>
      <c r="H68" s="60" t="str" cm="1">
        <f t="array" ref="H68">_xlfn.IFS(tbl_performance[[#This Row],[performance_pct]]&gt;=1.1,"Excellent",tbl_performance[[#This Row],[performance_pct]]&gt;=1,"Good",tbl_performance[[#This Row],[performance_pct]]&gt;=0.85,"Average",TRUE,"Poor")</f>
        <v>Good</v>
      </c>
    </row>
    <row r="69" spans="1:8" ht="19.8" x14ac:dyDescent="0.65">
      <c r="A69" s="58" t="s">
        <v>26</v>
      </c>
      <c r="B69" s="59">
        <v>45870</v>
      </c>
      <c r="C69" s="60">
        <v>20</v>
      </c>
      <c r="D69" s="60">
        <v>21</v>
      </c>
      <c r="E69" s="60" t="str">
        <f>tbl_performance[[#This Row],[employee_id]]&amp;"-"&amp;TEXT(tbl_performance[[#This Row],[month]],"mm")</f>
        <v>EMP1006-08</v>
      </c>
      <c r="F69" s="60">
        <f>COUNTIF(tbl_performance[employee_month_key],tbl_performance[[#This Row],[employee_month_key]])</f>
        <v>1</v>
      </c>
      <c r="G69" s="61">
        <f>tbl_performance[[#This Row],[achieved]]/tbl_performance[[#This Row],[target]]</f>
        <v>1.05</v>
      </c>
      <c r="H69" s="60" t="str" cm="1">
        <f t="array" ref="H69">_xlfn.IFS(tbl_performance[[#This Row],[performance_pct]]&gt;=1.1,"Excellent",tbl_performance[[#This Row],[performance_pct]]&gt;=1,"Good",tbl_performance[[#This Row],[performance_pct]]&gt;=0.85,"Average",TRUE,"Poor")</f>
        <v>Good</v>
      </c>
    </row>
    <row r="70" spans="1:8" ht="19.8" x14ac:dyDescent="0.65">
      <c r="A70" s="58" t="s">
        <v>26</v>
      </c>
      <c r="B70" s="59">
        <v>45901</v>
      </c>
      <c r="C70" s="60">
        <v>21</v>
      </c>
      <c r="D70" s="60">
        <v>21</v>
      </c>
      <c r="E70" s="60" t="str">
        <f>tbl_performance[[#This Row],[employee_id]]&amp;"-"&amp;TEXT(tbl_performance[[#This Row],[month]],"mm")</f>
        <v>EMP1006-09</v>
      </c>
      <c r="F70" s="60">
        <f>COUNTIF(tbl_performance[employee_month_key],tbl_performance[[#This Row],[employee_month_key]])</f>
        <v>1</v>
      </c>
      <c r="G70" s="61">
        <f>tbl_performance[[#This Row],[achieved]]/tbl_performance[[#This Row],[target]]</f>
        <v>1</v>
      </c>
      <c r="H70" s="60" t="str" cm="1">
        <f t="array" ref="H70">_xlfn.IFS(tbl_performance[[#This Row],[performance_pct]]&gt;=1.1,"Excellent",tbl_performance[[#This Row],[performance_pct]]&gt;=1,"Good",tbl_performance[[#This Row],[performance_pct]]&gt;=0.85,"Average",TRUE,"Poor")</f>
        <v>Good</v>
      </c>
    </row>
    <row r="71" spans="1:8" ht="19.8" x14ac:dyDescent="0.65">
      <c r="A71" s="58" t="s">
        <v>26</v>
      </c>
      <c r="B71" s="59">
        <v>45931</v>
      </c>
      <c r="C71" s="60">
        <v>21</v>
      </c>
      <c r="D71" s="60">
        <v>22</v>
      </c>
      <c r="E71" s="60" t="str">
        <f>tbl_performance[[#This Row],[employee_id]]&amp;"-"&amp;TEXT(tbl_performance[[#This Row],[month]],"mm")</f>
        <v>EMP1006-10</v>
      </c>
      <c r="F71" s="60">
        <f>COUNTIF(tbl_performance[employee_month_key],tbl_performance[[#This Row],[employee_month_key]])</f>
        <v>1</v>
      </c>
      <c r="G71" s="61">
        <f>tbl_performance[[#This Row],[achieved]]/tbl_performance[[#This Row],[target]]</f>
        <v>1.0476190476190477</v>
      </c>
      <c r="H71" s="60" t="str" cm="1">
        <f t="array" ref="H71">_xlfn.IFS(tbl_performance[[#This Row],[performance_pct]]&gt;=1.1,"Excellent",tbl_performance[[#This Row],[performance_pct]]&gt;=1,"Good",tbl_performance[[#This Row],[performance_pct]]&gt;=0.85,"Average",TRUE,"Poor")</f>
        <v>Good</v>
      </c>
    </row>
    <row r="72" spans="1:8" ht="19.8" x14ac:dyDescent="0.65">
      <c r="A72" s="58" t="s">
        <v>26</v>
      </c>
      <c r="B72" s="59">
        <v>45962</v>
      </c>
      <c r="C72" s="60">
        <v>21</v>
      </c>
      <c r="D72" s="60">
        <v>22</v>
      </c>
      <c r="E72" s="60" t="str">
        <f>tbl_performance[[#This Row],[employee_id]]&amp;"-"&amp;TEXT(tbl_performance[[#This Row],[month]],"mm")</f>
        <v>EMP1006-11</v>
      </c>
      <c r="F72" s="60">
        <f>COUNTIF(tbl_performance[employee_month_key],tbl_performance[[#This Row],[employee_month_key]])</f>
        <v>1</v>
      </c>
      <c r="G72" s="61">
        <f>tbl_performance[[#This Row],[achieved]]/tbl_performance[[#This Row],[target]]</f>
        <v>1.0476190476190477</v>
      </c>
      <c r="H72" s="60" t="str" cm="1">
        <f t="array" ref="H72">_xlfn.IFS(tbl_performance[[#This Row],[performance_pct]]&gt;=1.1,"Excellent",tbl_performance[[#This Row],[performance_pct]]&gt;=1,"Good",tbl_performance[[#This Row],[performance_pct]]&gt;=0.85,"Average",TRUE,"Poor")</f>
        <v>Good</v>
      </c>
    </row>
    <row r="73" spans="1:8" ht="19.8" x14ac:dyDescent="0.65">
      <c r="A73" s="58" t="s">
        <v>26</v>
      </c>
      <c r="B73" s="59">
        <v>45992</v>
      </c>
      <c r="C73" s="60">
        <v>17</v>
      </c>
      <c r="D73" s="60">
        <v>17</v>
      </c>
      <c r="E73" s="60" t="str">
        <f>tbl_performance[[#This Row],[employee_id]]&amp;"-"&amp;TEXT(tbl_performance[[#This Row],[month]],"mm")</f>
        <v>EMP1006-12</v>
      </c>
      <c r="F73" s="60">
        <f>COUNTIF(tbl_performance[employee_month_key],tbl_performance[[#This Row],[employee_month_key]])</f>
        <v>1</v>
      </c>
      <c r="G73" s="61">
        <f>tbl_performance[[#This Row],[achieved]]/tbl_performance[[#This Row],[target]]</f>
        <v>1</v>
      </c>
      <c r="H73" s="60" t="str" cm="1">
        <f t="array" ref="H73">_xlfn.IFS(tbl_performance[[#This Row],[performance_pct]]&gt;=1.1,"Excellent",tbl_performance[[#This Row],[performance_pct]]&gt;=1,"Good",tbl_performance[[#This Row],[performance_pct]]&gt;=0.85,"Average",TRUE,"Poor")</f>
        <v>Good</v>
      </c>
    </row>
    <row r="74" spans="1:8" ht="19.8" x14ac:dyDescent="0.65">
      <c r="A74" s="58" t="s">
        <v>30</v>
      </c>
      <c r="B74" s="59">
        <v>45717</v>
      </c>
      <c r="C74" s="60">
        <v>246</v>
      </c>
      <c r="D74" s="60">
        <v>237</v>
      </c>
      <c r="E74" s="60" t="str">
        <f>tbl_performance[[#This Row],[employee_id]]&amp;"-"&amp;TEXT(tbl_performance[[#This Row],[month]],"mm")</f>
        <v>EMP1007-03</v>
      </c>
      <c r="F74" s="60">
        <f>COUNTIF(tbl_performance[employee_month_key],tbl_performance[[#This Row],[employee_month_key]])</f>
        <v>1</v>
      </c>
      <c r="G74" s="61">
        <f>tbl_performance[[#This Row],[achieved]]/tbl_performance[[#This Row],[target]]</f>
        <v>0.96341463414634143</v>
      </c>
      <c r="H74" s="60" t="str" cm="1">
        <f t="array" ref="H7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5" spans="1:8" ht="19.8" x14ac:dyDescent="0.65">
      <c r="A75" s="58" t="s">
        <v>30</v>
      </c>
      <c r="B75" s="59">
        <v>45748</v>
      </c>
      <c r="C75" s="60">
        <v>241</v>
      </c>
      <c r="D75" s="60">
        <v>204</v>
      </c>
      <c r="E75" s="60" t="str">
        <f>tbl_performance[[#This Row],[employee_id]]&amp;"-"&amp;TEXT(tbl_performance[[#This Row],[month]],"mm")</f>
        <v>EMP1007-04</v>
      </c>
      <c r="F75" s="60">
        <f>COUNTIF(tbl_performance[employee_month_key],tbl_performance[[#This Row],[employee_month_key]])</f>
        <v>1</v>
      </c>
      <c r="G75" s="61">
        <f>tbl_performance[[#This Row],[achieved]]/tbl_performance[[#This Row],[target]]</f>
        <v>0.84647302904564314</v>
      </c>
      <c r="H75" s="60" t="str" cm="1">
        <f t="array" ref="H75">_xlfn.IFS(tbl_performance[[#This Row],[performance_pct]]&gt;=1.1,"Excellent",tbl_performance[[#This Row],[performance_pct]]&gt;=1,"Good",tbl_performance[[#This Row],[performance_pct]]&gt;=0.85,"Average",TRUE,"Poor")</f>
        <v>Poor</v>
      </c>
    </row>
    <row r="76" spans="1:8" ht="19.8" x14ac:dyDescent="0.65">
      <c r="A76" s="58" t="s">
        <v>30</v>
      </c>
      <c r="B76" s="59">
        <v>45778</v>
      </c>
      <c r="C76" s="60">
        <v>241</v>
      </c>
      <c r="D76" s="60">
        <v>185</v>
      </c>
      <c r="E76" s="60" t="str">
        <f>tbl_performance[[#This Row],[employee_id]]&amp;"-"&amp;TEXT(tbl_performance[[#This Row],[month]],"mm")</f>
        <v>EMP1007-05</v>
      </c>
      <c r="F76" s="60">
        <f>COUNTIF(tbl_performance[employee_month_key],tbl_performance[[#This Row],[employee_month_key]])</f>
        <v>1</v>
      </c>
      <c r="G76" s="61">
        <f>tbl_performance[[#This Row],[achieved]]/tbl_performance[[#This Row],[target]]</f>
        <v>0.76763485477178428</v>
      </c>
      <c r="H76" s="60" t="str" cm="1">
        <f t="array" ref="H76">_xlfn.IFS(tbl_performance[[#This Row],[performance_pct]]&gt;=1.1,"Excellent",tbl_performance[[#This Row],[performance_pct]]&gt;=1,"Good",tbl_performance[[#This Row],[performance_pct]]&gt;=0.85,"Average",TRUE,"Poor")</f>
        <v>Poor</v>
      </c>
    </row>
    <row r="77" spans="1:8" ht="19.8" x14ac:dyDescent="0.65">
      <c r="A77" s="58" t="s">
        <v>30</v>
      </c>
      <c r="B77" s="59">
        <v>45809</v>
      </c>
      <c r="C77" s="60">
        <v>237</v>
      </c>
      <c r="D77" s="60">
        <v>179</v>
      </c>
      <c r="E77" s="60" t="str">
        <f>tbl_performance[[#This Row],[employee_id]]&amp;"-"&amp;TEXT(tbl_performance[[#This Row],[month]],"mm")</f>
        <v>EMP1007-06</v>
      </c>
      <c r="F77" s="60">
        <f>COUNTIF(tbl_performance[employee_month_key],tbl_performance[[#This Row],[employee_month_key]])</f>
        <v>1</v>
      </c>
      <c r="G77" s="61">
        <f>tbl_performance[[#This Row],[achieved]]/tbl_performance[[#This Row],[target]]</f>
        <v>0.75527426160337552</v>
      </c>
      <c r="H77" s="60" t="str" cm="1">
        <f t="array" ref="H77">_xlfn.IFS(tbl_performance[[#This Row],[performance_pct]]&gt;=1.1,"Excellent",tbl_performance[[#This Row],[performance_pct]]&gt;=1,"Good",tbl_performance[[#This Row],[performance_pct]]&gt;=0.85,"Average",TRUE,"Poor")</f>
        <v>Poor</v>
      </c>
    </row>
    <row r="78" spans="1:8" ht="19.8" x14ac:dyDescent="0.65">
      <c r="A78" s="58" t="s">
        <v>30</v>
      </c>
      <c r="B78" s="59">
        <v>45839</v>
      </c>
      <c r="C78" s="60">
        <v>241</v>
      </c>
      <c r="D78" s="60">
        <v>203</v>
      </c>
      <c r="E78" s="60" t="str">
        <f>tbl_performance[[#This Row],[employee_id]]&amp;"-"&amp;TEXT(tbl_performance[[#This Row],[month]],"mm")</f>
        <v>EMP1007-07</v>
      </c>
      <c r="F78" s="60">
        <f>COUNTIF(tbl_performance[employee_month_key],tbl_performance[[#This Row],[employee_month_key]])</f>
        <v>1</v>
      </c>
      <c r="G78" s="61">
        <f>tbl_performance[[#This Row],[achieved]]/tbl_performance[[#This Row],[target]]</f>
        <v>0.84232365145228216</v>
      </c>
      <c r="H78" s="60" t="str" cm="1">
        <f t="array" ref="H78">_xlfn.IFS(tbl_performance[[#This Row],[performance_pct]]&gt;=1.1,"Excellent",tbl_performance[[#This Row],[performance_pct]]&gt;=1,"Good",tbl_performance[[#This Row],[performance_pct]]&gt;=0.85,"Average",TRUE,"Poor")</f>
        <v>Poor</v>
      </c>
    </row>
    <row r="79" spans="1:8" ht="19.8" x14ac:dyDescent="0.65">
      <c r="A79" s="58" t="s">
        <v>30</v>
      </c>
      <c r="B79" s="59">
        <v>45870</v>
      </c>
      <c r="C79" s="60">
        <v>234</v>
      </c>
      <c r="D79" s="60">
        <v>153</v>
      </c>
      <c r="E79" s="60" t="str">
        <f>tbl_performance[[#This Row],[employee_id]]&amp;"-"&amp;TEXT(tbl_performance[[#This Row],[month]],"mm")</f>
        <v>EMP1007-08</v>
      </c>
      <c r="F79" s="60">
        <f>COUNTIF(tbl_performance[employee_month_key],tbl_performance[[#This Row],[employee_month_key]])</f>
        <v>1</v>
      </c>
      <c r="G79" s="61">
        <f>tbl_performance[[#This Row],[achieved]]/tbl_performance[[#This Row],[target]]</f>
        <v>0.65384615384615385</v>
      </c>
      <c r="H79" s="60" t="str" cm="1">
        <f t="array" ref="H79">_xlfn.IFS(tbl_performance[[#This Row],[performance_pct]]&gt;=1.1,"Excellent",tbl_performance[[#This Row],[performance_pct]]&gt;=1,"Good",tbl_performance[[#This Row],[performance_pct]]&gt;=0.85,"Average",TRUE,"Poor")</f>
        <v>Poor</v>
      </c>
    </row>
    <row r="80" spans="1:8" ht="19.8" x14ac:dyDescent="0.65">
      <c r="A80" s="58" t="s">
        <v>30</v>
      </c>
      <c r="B80" s="59">
        <v>45901</v>
      </c>
      <c r="C80" s="60">
        <v>241</v>
      </c>
      <c r="D80" s="60">
        <v>195</v>
      </c>
      <c r="E80" s="60" t="str">
        <f>tbl_performance[[#This Row],[employee_id]]&amp;"-"&amp;TEXT(tbl_performance[[#This Row],[month]],"mm")</f>
        <v>EMP1007-09</v>
      </c>
      <c r="F80" s="60">
        <f>COUNTIF(tbl_performance[employee_month_key],tbl_performance[[#This Row],[employee_month_key]])</f>
        <v>1</v>
      </c>
      <c r="G80" s="61">
        <f>tbl_performance[[#This Row],[achieved]]/tbl_performance[[#This Row],[target]]</f>
        <v>0.8091286307053942</v>
      </c>
      <c r="H80" s="60" t="str" cm="1">
        <f t="array" ref="H80">_xlfn.IFS(tbl_performance[[#This Row],[performance_pct]]&gt;=1.1,"Excellent",tbl_performance[[#This Row],[performance_pct]]&gt;=1,"Good",tbl_performance[[#This Row],[performance_pct]]&gt;=0.85,"Average",TRUE,"Poor")</f>
        <v>Poor</v>
      </c>
    </row>
    <row r="81" spans="1:8" ht="19.8" x14ac:dyDescent="0.65">
      <c r="A81" s="58" t="s">
        <v>30</v>
      </c>
      <c r="B81" s="59">
        <v>45931</v>
      </c>
      <c r="C81" s="60">
        <v>246</v>
      </c>
      <c r="D81" s="60">
        <v>208</v>
      </c>
      <c r="E81" s="60" t="str">
        <f>tbl_performance[[#This Row],[employee_id]]&amp;"-"&amp;TEXT(tbl_performance[[#This Row],[month]],"mm")</f>
        <v>EMP1007-10</v>
      </c>
      <c r="F81" s="60">
        <f>COUNTIF(tbl_performance[employee_month_key],tbl_performance[[#This Row],[employee_month_key]])</f>
        <v>1</v>
      </c>
      <c r="G81" s="61">
        <f>tbl_performance[[#This Row],[achieved]]/tbl_performance[[#This Row],[target]]</f>
        <v>0.84552845528455289</v>
      </c>
      <c r="H81" s="60" t="str" cm="1">
        <f t="array" ref="H81">_xlfn.IFS(tbl_performance[[#This Row],[performance_pct]]&gt;=1.1,"Excellent",tbl_performance[[#This Row],[performance_pct]]&gt;=1,"Good",tbl_performance[[#This Row],[performance_pct]]&gt;=0.85,"Average",TRUE,"Poor")</f>
        <v>Poor</v>
      </c>
    </row>
    <row r="82" spans="1:8" ht="19.8" x14ac:dyDescent="0.65">
      <c r="A82" s="58" t="s">
        <v>30</v>
      </c>
      <c r="B82" s="59">
        <v>45962</v>
      </c>
      <c r="C82" s="60">
        <v>241</v>
      </c>
      <c r="D82" s="60">
        <v>197</v>
      </c>
      <c r="E82" s="60" t="str">
        <f>tbl_performance[[#This Row],[employee_id]]&amp;"-"&amp;TEXT(tbl_performance[[#This Row],[month]],"mm")</f>
        <v>EMP1007-11</v>
      </c>
      <c r="F82" s="60">
        <f>COUNTIF(tbl_performance[employee_month_key],tbl_performance[[#This Row],[employee_month_key]])</f>
        <v>1</v>
      </c>
      <c r="G82" s="61">
        <f>tbl_performance[[#This Row],[achieved]]/tbl_performance[[#This Row],[target]]</f>
        <v>0.81742738589211617</v>
      </c>
      <c r="H82" s="60" t="str" cm="1">
        <f t="array" ref="H82">_xlfn.IFS(tbl_performance[[#This Row],[performance_pct]]&gt;=1.1,"Excellent",tbl_performance[[#This Row],[performance_pct]]&gt;=1,"Good",tbl_performance[[#This Row],[performance_pct]]&gt;=0.85,"Average",TRUE,"Poor")</f>
        <v>Poor</v>
      </c>
    </row>
    <row r="83" spans="1:8" ht="19.8" x14ac:dyDescent="0.65">
      <c r="A83" s="58" t="s">
        <v>30</v>
      </c>
      <c r="B83" s="59">
        <v>45992</v>
      </c>
      <c r="C83" s="60">
        <v>205</v>
      </c>
      <c r="D83" s="60">
        <v>144</v>
      </c>
      <c r="E83" s="60" t="str">
        <f>tbl_performance[[#This Row],[employee_id]]&amp;"-"&amp;TEXT(tbl_performance[[#This Row],[month]],"mm")</f>
        <v>EMP1007-12</v>
      </c>
      <c r="F83" s="60">
        <f>COUNTIF(tbl_performance[employee_month_key],tbl_performance[[#This Row],[employee_month_key]])</f>
        <v>1</v>
      </c>
      <c r="G83" s="61">
        <f>tbl_performance[[#This Row],[achieved]]/tbl_performance[[#This Row],[target]]</f>
        <v>0.70243902439024386</v>
      </c>
      <c r="H83" s="60" t="str" cm="1">
        <f t="array" ref="H83">_xlfn.IFS(tbl_performance[[#This Row],[performance_pct]]&gt;=1.1,"Excellent",tbl_performance[[#This Row],[performance_pct]]&gt;=1,"Good",tbl_performance[[#This Row],[performance_pct]]&gt;=0.85,"Average",TRUE,"Poor")</f>
        <v>Poor</v>
      </c>
    </row>
    <row r="84" spans="1:8" ht="19.8" x14ac:dyDescent="0.65">
      <c r="A84" s="58" t="s">
        <v>34</v>
      </c>
      <c r="B84" s="59">
        <v>45658</v>
      </c>
      <c r="C84" s="60">
        <v>39</v>
      </c>
      <c r="D84" s="60">
        <v>37</v>
      </c>
      <c r="E84" s="60" t="str">
        <f>tbl_performance[[#This Row],[employee_id]]&amp;"-"&amp;TEXT(tbl_performance[[#This Row],[month]],"mm")</f>
        <v>EMP1008-01</v>
      </c>
      <c r="F84" s="60">
        <f>COUNTIF(tbl_performance[employee_month_key],tbl_performance[[#This Row],[employee_month_key]])</f>
        <v>1</v>
      </c>
      <c r="G84" s="61">
        <f>tbl_performance[[#This Row],[achieved]]/tbl_performance[[#This Row],[target]]</f>
        <v>0.94871794871794868</v>
      </c>
      <c r="H84" s="60" t="str" cm="1">
        <f t="array" ref="H8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5" spans="1:8" ht="19.8" x14ac:dyDescent="0.65">
      <c r="A85" s="58" t="s">
        <v>34</v>
      </c>
      <c r="B85" s="59">
        <v>45689</v>
      </c>
      <c r="C85" s="60">
        <v>36</v>
      </c>
      <c r="D85" s="60">
        <v>36</v>
      </c>
      <c r="E85" s="60" t="str">
        <f>tbl_performance[[#This Row],[employee_id]]&amp;"-"&amp;TEXT(tbl_performance[[#This Row],[month]],"mm")</f>
        <v>EMP1008-02</v>
      </c>
      <c r="F85" s="60">
        <f>COUNTIF(tbl_performance[employee_month_key],tbl_performance[[#This Row],[employee_month_key]])</f>
        <v>1</v>
      </c>
      <c r="G85" s="61">
        <f>tbl_performance[[#This Row],[achieved]]/tbl_performance[[#This Row],[target]]</f>
        <v>1</v>
      </c>
      <c r="H85" s="60" t="str" cm="1">
        <f t="array" ref="H85">_xlfn.IFS(tbl_performance[[#This Row],[performance_pct]]&gt;=1.1,"Excellent",tbl_performance[[#This Row],[performance_pct]]&gt;=1,"Good",tbl_performance[[#This Row],[performance_pct]]&gt;=0.85,"Average",TRUE,"Poor")</f>
        <v>Good</v>
      </c>
    </row>
    <row r="86" spans="1:8" ht="19.8" x14ac:dyDescent="0.65">
      <c r="A86" s="58" t="s">
        <v>34</v>
      </c>
      <c r="B86" s="59">
        <v>45717</v>
      </c>
      <c r="C86" s="60">
        <v>40</v>
      </c>
      <c r="D86" s="60">
        <v>39</v>
      </c>
      <c r="E86" s="60" t="str">
        <f>tbl_performance[[#This Row],[employee_id]]&amp;"-"&amp;TEXT(tbl_performance[[#This Row],[month]],"mm")</f>
        <v>EMP1008-03</v>
      </c>
      <c r="F86" s="60">
        <f>COUNTIF(tbl_performance[employee_month_key],tbl_performance[[#This Row],[employee_month_key]])</f>
        <v>1</v>
      </c>
      <c r="G86" s="61">
        <f>tbl_performance[[#This Row],[achieved]]/tbl_performance[[#This Row],[target]]</f>
        <v>0.97499999999999998</v>
      </c>
      <c r="H86" s="60" t="str" cm="1">
        <f t="array" ref="H8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7" spans="1:8" ht="19.8" x14ac:dyDescent="0.65">
      <c r="A87" s="58" t="s">
        <v>34</v>
      </c>
      <c r="B87" s="59">
        <v>45748</v>
      </c>
      <c r="C87" s="60">
        <v>39</v>
      </c>
      <c r="D87" s="60">
        <v>36</v>
      </c>
      <c r="E87" s="60" t="str">
        <f>tbl_performance[[#This Row],[employee_id]]&amp;"-"&amp;TEXT(tbl_performance[[#This Row],[month]],"mm")</f>
        <v>EMP1008-04</v>
      </c>
      <c r="F87" s="60">
        <f>COUNTIF(tbl_performance[employee_month_key],tbl_performance[[#This Row],[employee_month_key]])</f>
        <v>1</v>
      </c>
      <c r="G87" s="61">
        <f>tbl_performance[[#This Row],[achieved]]/tbl_performance[[#This Row],[target]]</f>
        <v>0.92307692307692313</v>
      </c>
      <c r="H87" s="60" t="str" cm="1">
        <f t="array" ref="H8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8" spans="1:8" ht="19.8" x14ac:dyDescent="0.65">
      <c r="A88" s="58" t="s">
        <v>34</v>
      </c>
      <c r="B88" s="59">
        <v>45778</v>
      </c>
      <c r="C88" s="60">
        <v>39</v>
      </c>
      <c r="D88" s="60">
        <v>38</v>
      </c>
      <c r="E88" s="60" t="str">
        <f>tbl_performance[[#This Row],[employee_id]]&amp;"-"&amp;TEXT(tbl_performance[[#This Row],[month]],"mm")</f>
        <v>EMP1008-05</v>
      </c>
      <c r="F88" s="60">
        <f>COUNTIF(tbl_performance[employee_month_key],tbl_performance[[#This Row],[employee_month_key]])</f>
        <v>1</v>
      </c>
      <c r="G88" s="61">
        <f>tbl_performance[[#This Row],[achieved]]/tbl_performance[[#This Row],[target]]</f>
        <v>0.97435897435897434</v>
      </c>
      <c r="H88" s="60" t="str" cm="1">
        <f t="array" ref="H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9" spans="1:8" ht="19.8" x14ac:dyDescent="0.65">
      <c r="A89" s="58" t="s">
        <v>34</v>
      </c>
      <c r="B89" s="59">
        <v>45809</v>
      </c>
      <c r="C89" s="60">
        <v>38</v>
      </c>
      <c r="D89" s="60">
        <v>38</v>
      </c>
      <c r="E89" s="60" t="str">
        <f>tbl_performance[[#This Row],[employee_id]]&amp;"-"&amp;TEXT(tbl_performance[[#This Row],[month]],"mm")</f>
        <v>EMP1008-06</v>
      </c>
      <c r="F89" s="60">
        <f>COUNTIF(tbl_performance[employee_month_key],tbl_performance[[#This Row],[employee_month_key]])</f>
        <v>1</v>
      </c>
      <c r="G89" s="61">
        <f>tbl_performance[[#This Row],[achieved]]/tbl_performance[[#This Row],[target]]</f>
        <v>1</v>
      </c>
      <c r="H89" s="60" t="str" cm="1">
        <f t="array" ref="H89">_xlfn.IFS(tbl_performance[[#This Row],[performance_pct]]&gt;=1.1,"Excellent",tbl_performance[[#This Row],[performance_pct]]&gt;=1,"Good",tbl_performance[[#This Row],[performance_pct]]&gt;=0.85,"Average",TRUE,"Poor")</f>
        <v>Good</v>
      </c>
    </row>
    <row r="90" spans="1:8" ht="19.8" x14ac:dyDescent="0.65">
      <c r="A90" s="58" t="s">
        <v>34</v>
      </c>
      <c r="B90" s="59">
        <v>45839</v>
      </c>
      <c r="C90" s="60">
        <v>39</v>
      </c>
      <c r="D90" s="60">
        <v>37</v>
      </c>
      <c r="E90" s="60" t="str">
        <f>tbl_performance[[#This Row],[employee_id]]&amp;"-"&amp;TEXT(tbl_performance[[#This Row],[month]],"mm")</f>
        <v>EMP1008-07</v>
      </c>
      <c r="F90" s="60">
        <f>COUNTIF(tbl_performance[employee_month_key],tbl_performance[[#This Row],[employee_month_key]])</f>
        <v>1</v>
      </c>
      <c r="G90" s="61">
        <f>tbl_performance[[#This Row],[achieved]]/tbl_performance[[#This Row],[target]]</f>
        <v>0.94871794871794868</v>
      </c>
      <c r="H90" s="60" t="str" cm="1">
        <f t="array" ref="H9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" spans="1:8" ht="19.8" x14ac:dyDescent="0.65">
      <c r="A91" s="58" t="s">
        <v>34</v>
      </c>
      <c r="B91" s="59">
        <v>45870</v>
      </c>
      <c r="C91" s="60">
        <v>38</v>
      </c>
      <c r="D91" s="60">
        <v>36</v>
      </c>
      <c r="E91" s="60" t="str">
        <f>tbl_performance[[#This Row],[employee_id]]&amp;"-"&amp;TEXT(tbl_performance[[#This Row],[month]],"mm")</f>
        <v>EMP1008-08</v>
      </c>
      <c r="F91" s="60">
        <f>COUNTIF(tbl_performance[employee_month_key],tbl_performance[[#This Row],[employee_month_key]])</f>
        <v>1</v>
      </c>
      <c r="G91" s="61">
        <f>tbl_performance[[#This Row],[achieved]]/tbl_performance[[#This Row],[target]]</f>
        <v>0.94736842105263153</v>
      </c>
      <c r="H91" s="60" t="str" cm="1">
        <f t="array" ref="H9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" spans="1:8" ht="19.8" x14ac:dyDescent="0.65">
      <c r="A92" s="58" t="s">
        <v>34</v>
      </c>
      <c r="B92" s="59">
        <v>45901</v>
      </c>
      <c r="C92" s="60">
        <v>39</v>
      </c>
      <c r="D92" s="60">
        <v>38</v>
      </c>
      <c r="E92" s="60" t="str">
        <f>tbl_performance[[#This Row],[employee_id]]&amp;"-"&amp;TEXT(tbl_performance[[#This Row],[month]],"mm")</f>
        <v>EMP1008-09</v>
      </c>
      <c r="F92" s="60">
        <f>COUNTIF(tbl_performance[employee_month_key],tbl_performance[[#This Row],[employee_month_key]])</f>
        <v>1</v>
      </c>
      <c r="G92" s="61">
        <f>tbl_performance[[#This Row],[achieved]]/tbl_performance[[#This Row],[target]]</f>
        <v>0.97435897435897434</v>
      </c>
      <c r="H92" s="60" t="str" cm="1">
        <f t="array" ref="H9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3" spans="1:8" ht="19.8" x14ac:dyDescent="0.65">
      <c r="A93" s="58" t="s">
        <v>34</v>
      </c>
      <c r="B93" s="59">
        <v>45931</v>
      </c>
      <c r="C93" s="60">
        <v>40</v>
      </c>
      <c r="D93" s="60">
        <v>38</v>
      </c>
      <c r="E93" s="60" t="str">
        <f>tbl_performance[[#This Row],[employee_id]]&amp;"-"&amp;TEXT(tbl_performance[[#This Row],[month]],"mm")</f>
        <v>EMP1008-10</v>
      </c>
      <c r="F93" s="60">
        <f>COUNTIF(tbl_performance[employee_month_key],tbl_performance[[#This Row],[employee_month_key]])</f>
        <v>1</v>
      </c>
      <c r="G93" s="61">
        <f>tbl_performance[[#This Row],[achieved]]/tbl_performance[[#This Row],[target]]</f>
        <v>0.95</v>
      </c>
      <c r="H93" s="60" t="str" cm="1">
        <f t="array" ref="H9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4" spans="1:8" ht="19.8" x14ac:dyDescent="0.65">
      <c r="A94" s="58" t="s">
        <v>34</v>
      </c>
      <c r="B94" s="59">
        <v>45962</v>
      </c>
      <c r="C94" s="60">
        <v>39</v>
      </c>
      <c r="D94" s="60">
        <v>39</v>
      </c>
      <c r="E94" s="60" t="str">
        <f>tbl_performance[[#This Row],[employee_id]]&amp;"-"&amp;TEXT(tbl_performance[[#This Row],[month]],"mm")</f>
        <v>EMP1008-11</v>
      </c>
      <c r="F94" s="60">
        <f>COUNTIF(tbl_performance[employee_month_key],tbl_performance[[#This Row],[employee_month_key]])</f>
        <v>1</v>
      </c>
      <c r="G94" s="61">
        <f>tbl_performance[[#This Row],[achieved]]/tbl_performance[[#This Row],[target]]</f>
        <v>1</v>
      </c>
      <c r="H94" s="60" t="str" cm="1">
        <f t="array" ref="H94">_xlfn.IFS(tbl_performance[[#This Row],[performance_pct]]&gt;=1.1,"Excellent",tbl_performance[[#This Row],[performance_pct]]&gt;=1,"Good",tbl_performance[[#This Row],[performance_pct]]&gt;=0.85,"Average",TRUE,"Poor")</f>
        <v>Good</v>
      </c>
    </row>
    <row r="95" spans="1:8" ht="19.8" x14ac:dyDescent="0.65">
      <c r="A95" s="58" t="s">
        <v>34</v>
      </c>
      <c r="B95" s="59">
        <v>45992</v>
      </c>
      <c r="C95" s="60">
        <v>33</v>
      </c>
      <c r="D95" s="60">
        <v>31</v>
      </c>
      <c r="E95" s="60" t="str">
        <f>tbl_performance[[#This Row],[employee_id]]&amp;"-"&amp;TEXT(tbl_performance[[#This Row],[month]],"mm")</f>
        <v>EMP1008-12</v>
      </c>
      <c r="F95" s="60">
        <f>COUNTIF(tbl_performance[employee_month_key],tbl_performance[[#This Row],[employee_month_key]])</f>
        <v>1</v>
      </c>
      <c r="G95" s="61">
        <f>tbl_performance[[#This Row],[achieved]]/tbl_performance[[#This Row],[target]]</f>
        <v>0.93939393939393945</v>
      </c>
      <c r="H95" s="60" t="str" cm="1">
        <f t="array" ref="H9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6" spans="1:8" ht="19.8" x14ac:dyDescent="0.65">
      <c r="A96" s="58" t="s">
        <v>38</v>
      </c>
      <c r="B96" s="59">
        <v>45658</v>
      </c>
      <c r="C96" s="60">
        <v>648</v>
      </c>
      <c r="D96" s="60">
        <v>674</v>
      </c>
      <c r="E96" s="60" t="str">
        <f>tbl_performance[[#This Row],[employee_id]]&amp;"-"&amp;TEXT(tbl_performance[[#This Row],[month]],"mm")</f>
        <v>EMP1009-01</v>
      </c>
      <c r="F96" s="60">
        <f>COUNTIF(tbl_performance[employee_month_key],tbl_performance[[#This Row],[employee_month_key]])</f>
        <v>1</v>
      </c>
      <c r="G96" s="61">
        <f>tbl_performance[[#This Row],[achieved]]/tbl_performance[[#This Row],[target]]</f>
        <v>1.0401234567901234</v>
      </c>
      <c r="H96" s="60" t="str" cm="1">
        <f t="array" ref="H96">_xlfn.IFS(tbl_performance[[#This Row],[performance_pct]]&gt;=1.1,"Excellent",tbl_performance[[#This Row],[performance_pct]]&gt;=1,"Good",tbl_performance[[#This Row],[performance_pct]]&gt;=0.85,"Average",TRUE,"Poor")</f>
        <v>Good</v>
      </c>
    </row>
    <row r="97" spans="1:8" ht="19.8" x14ac:dyDescent="0.65">
      <c r="A97" s="58" t="s">
        <v>38</v>
      </c>
      <c r="B97" s="59">
        <v>45689</v>
      </c>
      <c r="C97" s="60">
        <v>603</v>
      </c>
      <c r="D97" s="60">
        <v>546</v>
      </c>
      <c r="E97" s="60" t="str">
        <f>tbl_performance[[#This Row],[employee_id]]&amp;"-"&amp;TEXT(tbl_performance[[#This Row],[month]],"mm")</f>
        <v>EMP1009-02</v>
      </c>
      <c r="F97" s="60">
        <f>COUNTIF(tbl_performance[employee_month_key],tbl_performance[[#This Row],[employee_month_key]])</f>
        <v>1</v>
      </c>
      <c r="G97" s="61">
        <f>tbl_performance[[#This Row],[achieved]]/tbl_performance[[#This Row],[target]]</f>
        <v>0.90547263681592038</v>
      </c>
      <c r="H97" s="60" t="str" cm="1">
        <f t="array" ref="H9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8" spans="1:8" ht="19.8" x14ac:dyDescent="0.65">
      <c r="A98" s="58" t="s">
        <v>38</v>
      </c>
      <c r="B98" s="59">
        <v>45717</v>
      </c>
      <c r="C98" s="60">
        <v>661</v>
      </c>
      <c r="D98" s="60">
        <v>615</v>
      </c>
      <c r="E98" s="60" t="str">
        <f>tbl_performance[[#This Row],[employee_id]]&amp;"-"&amp;TEXT(tbl_performance[[#This Row],[month]],"mm")</f>
        <v>EMP1009-03</v>
      </c>
      <c r="F98" s="60">
        <f>COUNTIF(tbl_performance[employee_month_key],tbl_performance[[#This Row],[employee_month_key]])</f>
        <v>1</v>
      </c>
      <c r="G98" s="61">
        <f>tbl_performance[[#This Row],[achieved]]/tbl_performance[[#This Row],[target]]</f>
        <v>0.93040847201210286</v>
      </c>
      <c r="H98" s="60" t="str" cm="1">
        <f t="array" ref="H9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9" spans="1:8" ht="19.8" x14ac:dyDescent="0.65">
      <c r="A99" s="58" t="s">
        <v>38</v>
      </c>
      <c r="B99" s="59">
        <v>45748</v>
      </c>
      <c r="C99" s="60">
        <v>648</v>
      </c>
      <c r="D99" s="60">
        <v>654</v>
      </c>
      <c r="E99" s="60" t="str">
        <f>tbl_performance[[#This Row],[employee_id]]&amp;"-"&amp;TEXT(tbl_performance[[#This Row],[month]],"mm")</f>
        <v>EMP1009-04</v>
      </c>
      <c r="F99" s="60">
        <f>COUNTIF(tbl_performance[employee_month_key],tbl_performance[[#This Row],[employee_month_key]])</f>
        <v>1</v>
      </c>
      <c r="G99" s="61">
        <f>tbl_performance[[#This Row],[achieved]]/tbl_performance[[#This Row],[target]]</f>
        <v>1.0092592592592593</v>
      </c>
      <c r="H99" s="60" t="str" cm="1">
        <f t="array" ref="H99">_xlfn.IFS(tbl_performance[[#This Row],[performance_pct]]&gt;=1.1,"Excellent",tbl_performance[[#This Row],[performance_pct]]&gt;=1,"Good",tbl_performance[[#This Row],[performance_pct]]&gt;=0.85,"Average",TRUE,"Poor")</f>
        <v>Good</v>
      </c>
    </row>
    <row r="100" spans="1:8" ht="19.8" x14ac:dyDescent="0.65">
      <c r="A100" s="58" t="s">
        <v>38</v>
      </c>
      <c r="B100" s="59">
        <v>45778</v>
      </c>
      <c r="C100" s="60">
        <v>648</v>
      </c>
      <c r="D100" s="60">
        <v>654</v>
      </c>
      <c r="E100" s="60" t="str">
        <f>tbl_performance[[#This Row],[employee_id]]&amp;"-"&amp;TEXT(tbl_performance[[#This Row],[month]],"mm")</f>
        <v>EMP1009-05</v>
      </c>
      <c r="F100" s="60">
        <f>COUNTIF(tbl_performance[employee_month_key],tbl_performance[[#This Row],[employee_month_key]])</f>
        <v>1</v>
      </c>
      <c r="G100" s="61">
        <f>tbl_performance[[#This Row],[achieved]]/tbl_performance[[#This Row],[target]]</f>
        <v>1.0092592592592593</v>
      </c>
      <c r="H100" s="60" t="str" cm="1">
        <f t="array" ref="H100">_xlfn.IFS(tbl_performance[[#This Row],[performance_pct]]&gt;=1.1,"Excellent",tbl_performance[[#This Row],[performance_pct]]&gt;=1,"Good",tbl_performance[[#This Row],[performance_pct]]&gt;=0.85,"Average",TRUE,"Poor")</f>
        <v>Good</v>
      </c>
    </row>
    <row r="101" spans="1:8" ht="19.8" x14ac:dyDescent="0.65">
      <c r="A101" s="58" t="s">
        <v>38</v>
      </c>
      <c r="B101" s="59">
        <v>45809</v>
      </c>
      <c r="C101" s="60">
        <v>635</v>
      </c>
      <c r="D101" s="60">
        <v>641</v>
      </c>
      <c r="E101" s="60" t="str">
        <f>tbl_performance[[#This Row],[employee_id]]&amp;"-"&amp;TEXT(tbl_performance[[#This Row],[month]],"mm")</f>
        <v>EMP1009-06</v>
      </c>
      <c r="F101" s="60">
        <f>COUNTIF(tbl_performance[employee_month_key],tbl_performance[[#This Row],[employee_month_key]])</f>
        <v>1</v>
      </c>
      <c r="G101" s="61">
        <f>tbl_performance[[#This Row],[achieved]]/tbl_performance[[#This Row],[target]]</f>
        <v>1.0094488188976378</v>
      </c>
      <c r="H101" s="60" t="str" cm="1">
        <f t="array" ref="H101">_xlfn.IFS(tbl_performance[[#This Row],[performance_pct]]&gt;=1.1,"Excellent",tbl_performance[[#This Row],[performance_pct]]&gt;=1,"Good",tbl_performance[[#This Row],[performance_pct]]&gt;=0.85,"Average",TRUE,"Poor")</f>
        <v>Good</v>
      </c>
    </row>
    <row r="102" spans="1:8" ht="19.8" x14ac:dyDescent="0.65">
      <c r="A102" s="58" t="s">
        <v>38</v>
      </c>
      <c r="B102" s="59">
        <v>45839</v>
      </c>
      <c r="C102" s="60">
        <v>648</v>
      </c>
      <c r="D102" s="60">
        <v>773</v>
      </c>
      <c r="E102" s="60" t="str">
        <f>tbl_performance[[#This Row],[employee_id]]&amp;"-"&amp;TEXT(tbl_performance[[#This Row],[month]],"mm")</f>
        <v>EMP1009-07</v>
      </c>
      <c r="F102" s="60">
        <f>COUNTIF(tbl_performance[employee_month_key],tbl_performance[[#This Row],[employee_month_key]])</f>
        <v>1</v>
      </c>
      <c r="G102" s="61">
        <f>tbl_performance[[#This Row],[achieved]]/tbl_performance[[#This Row],[target]]</f>
        <v>1.1929012345679013</v>
      </c>
      <c r="H102" s="60" t="str" cm="1">
        <f t="array" ref="H10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3" spans="1:8" ht="19.8" x14ac:dyDescent="0.65">
      <c r="A103" s="58" t="s">
        <v>38</v>
      </c>
      <c r="B103" s="59">
        <v>45870</v>
      </c>
      <c r="C103" s="60">
        <v>629</v>
      </c>
      <c r="D103" s="60">
        <v>543</v>
      </c>
      <c r="E103" s="60" t="str">
        <f>tbl_performance[[#This Row],[employee_id]]&amp;"-"&amp;TEXT(tbl_performance[[#This Row],[month]],"mm")</f>
        <v>EMP1009-08</v>
      </c>
      <c r="F103" s="60">
        <f>COUNTIF(tbl_performance[employee_month_key],tbl_performance[[#This Row],[employee_month_key]])</f>
        <v>1</v>
      </c>
      <c r="G103" s="61">
        <f>tbl_performance[[#This Row],[achieved]]/tbl_performance[[#This Row],[target]]</f>
        <v>0.86327503974562803</v>
      </c>
      <c r="H103" s="60" t="str" cm="1">
        <f t="array" ref="H10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4" spans="1:8" ht="19.8" x14ac:dyDescent="0.65">
      <c r="A104" s="58" t="s">
        <v>38</v>
      </c>
      <c r="B104" s="59">
        <v>45901</v>
      </c>
      <c r="C104" s="60">
        <v>648</v>
      </c>
      <c r="D104" s="60">
        <v>644</v>
      </c>
      <c r="E104" s="60" t="str">
        <f>tbl_performance[[#This Row],[employee_id]]&amp;"-"&amp;TEXT(tbl_performance[[#This Row],[month]],"mm")</f>
        <v>EMP1009-09</v>
      </c>
      <c r="F104" s="60">
        <f>COUNTIF(tbl_performance[employee_month_key],tbl_performance[[#This Row],[employee_month_key]])</f>
        <v>1</v>
      </c>
      <c r="G104" s="61">
        <f>tbl_performance[[#This Row],[achieved]]/tbl_performance[[#This Row],[target]]</f>
        <v>0.99382716049382713</v>
      </c>
      <c r="H104" s="60" t="str" cm="1">
        <f t="array" ref="H1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" spans="1:8" ht="19.8" x14ac:dyDescent="0.65">
      <c r="A105" s="58" t="s">
        <v>38</v>
      </c>
      <c r="B105" s="59">
        <v>45931</v>
      </c>
      <c r="C105" s="60">
        <v>661</v>
      </c>
      <c r="D105" s="60">
        <v>683</v>
      </c>
      <c r="E105" s="60" t="str">
        <f>tbl_performance[[#This Row],[employee_id]]&amp;"-"&amp;TEXT(tbl_performance[[#This Row],[month]],"mm")</f>
        <v>EMP1009-10</v>
      </c>
      <c r="F105" s="60">
        <f>COUNTIF(tbl_performance[employee_month_key],tbl_performance[[#This Row],[employee_month_key]])</f>
        <v>1</v>
      </c>
      <c r="G105" s="61">
        <f>tbl_performance[[#This Row],[achieved]]/tbl_performance[[#This Row],[target]]</f>
        <v>1.0332829046898639</v>
      </c>
      <c r="H105" s="60" t="str" cm="1">
        <f t="array" ref="H105">_xlfn.IFS(tbl_performance[[#This Row],[performance_pct]]&gt;=1.1,"Excellent",tbl_performance[[#This Row],[performance_pct]]&gt;=1,"Good",tbl_performance[[#This Row],[performance_pct]]&gt;=0.85,"Average",TRUE,"Poor")</f>
        <v>Good</v>
      </c>
    </row>
    <row r="106" spans="1:8" ht="19.8" x14ac:dyDescent="0.65">
      <c r="A106" s="58" t="s">
        <v>38</v>
      </c>
      <c r="B106" s="59">
        <v>45962</v>
      </c>
      <c r="C106" s="60">
        <v>648</v>
      </c>
      <c r="D106" s="60">
        <v>659</v>
      </c>
      <c r="E106" s="60" t="str">
        <f>tbl_performance[[#This Row],[employee_id]]&amp;"-"&amp;TEXT(tbl_performance[[#This Row],[month]],"mm")</f>
        <v>EMP1009-11</v>
      </c>
      <c r="F106" s="60">
        <f>COUNTIF(tbl_performance[employee_month_key],tbl_performance[[#This Row],[employee_month_key]])</f>
        <v>1</v>
      </c>
      <c r="G106" s="61">
        <f>tbl_performance[[#This Row],[achieved]]/tbl_performance[[#This Row],[target]]</f>
        <v>1.0169753086419753</v>
      </c>
      <c r="H106" s="60" t="str" cm="1">
        <f t="array" ref="H106">_xlfn.IFS(tbl_performance[[#This Row],[performance_pct]]&gt;=1.1,"Excellent",tbl_performance[[#This Row],[performance_pct]]&gt;=1,"Good",tbl_performance[[#This Row],[performance_pct]]&gt;=0.85,"Average",TRUE,"Poor")</f>
        <v>Good</v>
      </c>
    </row>
    <row r="107" spans="1:8" ht="19.8" x14ac:dyDescent="0.65">
      <c r="A107" s="58" t="s">
        <v>38</v>
      </c>
      <c r="B107" s="59">
        <v>45992</v>
      </c>
      <c r="C107" s="60">
        <v>551</v>
      </c>
      <c r="D107" s="60">
        <v>493</v>
      </c>
      <c r="E107" s="60" t="str">
        <f>tbl_performance[[#This Row],[employee_id]]&amp;"-"&amp;TEXT(tbl_performance[[#This Row],[month]],"mm")</f>
        <v>EMP1009-12</v>
      </c>
      <c r="F107" s="60">
        <f>COUNTIF(tbl_performance[employee_month_key],tbl_performance[[#This Row],[employee_month_key]])</f>
        <v>1</v>
      </c>
      <c r="G107" s="61">
        <f>tbl_performance[[#This Row],[achieved]]/tbl_performance[[#This Row],[target]]</f>
        <v>0.89473684210526316</v>
      </c>
      <c r="H107" s="60" t="str" cm="1">
        <f t="array" ref="H1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8" spans="1:8" ht="19.8" x14ac:dyDescent="0.65">
      <c r="A108" s="58" t="s">
        <v>41</v>
      </c>
      <c r="B108" s="59">
        <v>45658</v>
      </c>
      <c r="C108" s="60">
        <v>178450</v>
      </c>
      <c r="D108" s="60">
        <v>162325</v>
      </c>
      <c r="E108" s="60" t="str">
        <f>tbl_performance[[#This Row],[employee_id]]&amp;"-"&amp;TEXT(tbl_performance[[#This Row],[month]],"mm")</f>
        <v>EMP1010-01</v>
      </c>
      <c r="F108" s="60">
        <f>COUNTIF(tbl_performance[employee_month_key],tbl_performance[[#This Row],[employee_month_key]])</f>
        <v>1</v>
      </c>
      <c r="G108" s="61">
        <f>tbl_performance[[#This Row],[achieved]]/tbl_performance[[#This Row],[target]]</f>
        <v>0.90963855421686746</v>
      </c>
      <c r="H108" s="60" t="str" cm="1">
        <f t="array" ref="H10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" spans="1:8" ht="19.8" x14ac:dyDescent="0.65">
      <c r="A109" s="58" t="s">
        <v>41</v>
      </c>
      <c r="B109" s="59">
        <v>45689</v>
      </c>
      <c r="C109" s="60">
        <v>165958</v>
      </c>
      <c r="D109" s="60">
        <v>163346</v>
      </c>
      <c r="E109" s="60" t="str">
        <f>tbl_performance[[#This Row],[employee_id]]&amp;"-"&amp;TEXT(tbl_performance[[#This Row],[month]],"mm")</f>
        <v>EMP1010-02</v>
      </c>
      <c r="F109" s="60">
        <f>COUNTIF(tbl_performance[employee_month_key],tbl_performance[[#This Row],[employee_month_key]])</f>
        <v>1</v>
      </c>
      <c r="G109" s="61">
        <f>tbl_performance[[#This Row],[achieved]]/tbl_performance[[#This Row],[target]]</f>
        <v>0.98426107810409857</v>
      </c>
      <c r="H109" s="60" t="str" cm="1">
        <f t="array" ref="H10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0" spans="1:8" ht="19.8" x14ac:dyDescent="0.65">
      <c r="A110" s="58" t="s">
        <v>41</v>
      </c>
      <c r="B110" s="59">
        <v>45717</v>
      </c>
      <c r="C110" s="60">
        <v>182019</v>
      </c>
      <c r="D110" s="60">
        <v>180258</v>
      </c>
      <c r="E110" s="60" t="str">
        <f>tbl_performance[[#This Row],[employee_id]]&amp;"-"&amp;TEXT(tbl_performance[[#This Row],[month]],"mm")</f>
        <v>EMP1010-03</v>
      </c>
      <c r="F110" s="60">
        <f>COUNTIF(tbl_performance[employee_month_key],tbl_performance[[#This Row],[employee_month_key]])</f>
        <v>1</v>
      </c>
      <c r="G110" s="61">
        <f>tbl_performance[[#This Row],[achieved]]/tbl_performance[[#This Row],[target]]</f>
        <v>0.99032518583224827</v>
      </c>
      <c r="H110" s="60" t="str" cm="1">
        <f t="array" ref="H11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1" spans="1:8" ht="19.8" x14ac:dyDescent="0.65">
      <c r="A111" s="58" t="s">
        <v>41</v>
      </c>
      <c r="B111" s="59">
        <v>45748</v>
      </c>
      <c r="C111" s="60">
        <v>178450</v>
      </c>
      <c r="D111" s="60">
        <v>187028</v>
      </c>
      <c r="E111" s="60" t="str">
        <f>tbl_performance[[#This Row],[employee_id]]&amp;"-"&amp;TEXT(tbl_performance[[#This Row],[month]],"mm")</f>
        <v>EMP1010-04</v>
      </c>
      <c r="F111" s="60">
        <f>COUNTIF(tbl_performance[employee_month_key],tbl_performance[[#This Row],[employee_month_key]])</f>
        <v>1</v>
      </c>
      <c r="G111" s="61">
        <f>tbl_performance[[#This Row],[achieved]]/tbl_performance[[#This Row],[target]]</f>
        <v>1.048069487251331</v>
      </c>
      <c r="H111" s="60" t="str" cm="1">
        <f t="array" ref="H111">_xlfn.IFS(tbl_performance[[#This Row],[performance_pct]]&gt;=1.1,"Excellent",tbl_performance[[#This Row],[performance_pct]]&gt;=1,"Good",tbl_performance[[#This Row],[performance_pct]]&gt;=0.85,"Average",TRUE,"Poor")</f>
        <v>Good</v>
      </c>
    </row>
    <row r="112" spans="1:8" ht="19.8" x14ac:dyDescent="0.65">
      <c r="A112" s="58" t="s">
        <v>41</v>
      </c>
      <c r="B112" s="59">
        <v>45778</v>
      </c>
      <c r="C112" s="60">
        <v>178450</v>
      </c>
      <c r="D112" s="60">
        <v>227048</v>
      </c>
      <c r="E112" s="60" t="str">
        <f>tbl_performance[[#This Row],[employee_id]]&amp;"-"&amp;TEXT(tbl_performance[[#This Row],[month]],"mm")</f>
        <v>EMP1010-05</v>
      </c>
      <c r="F112" s="60">
        <f>COUNTIF(tbl_performance[employee_month_key],tbl_performance[[#This Row],[employee_month_key]])</f>
        <v>1</v>
      </c>
      <c r="G112" s="61">
        <f>tbl_performance[[#This Row],[achieved]]/tbl_performance[[#This Row],[target]]</f>
        <v>1.2723339871112356</v>
      </c>
      <c r="H112" s="60" t="str" cm="1">
        <f t="array" ref="H11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3" spans="1:8" ht="19.8" x14ac:dyDescent="0.65">
      <c r="A113" s="58" t="s">
        <v>41</v>
      </c>
      <c r="B113" s="59">
        <v>45809</v>
      </c>
      <c r="C113" s="60">
        <v>174881</v>
      </c>
      <c r="D113" s="60">
        <v>149551</v>
      </c>
      <c r="E113" s="60" t="str">
        <f>tbl_performance[[#This Row],[employee_id]]&amp;"-"&amp;TEXT(tbl_performance[[#This Row],[month]],"mm")</f>
        <v>EMP1010-06</v>
      </c>
      <c r="F113" s="60">
        <f>COUNTIF(tbl_performance[employee_month_key],tbl_performance[[#This Row],[employee_month_key]])</f>
        <v>1</v>
      </c>
      <c r="G113" s="61">
        <f>tbl_performance[[#This Row],[achieved]]/tbl_performance[[#This Row],[target]]</f>
        <v>0.85515865073964581</v>
      </c>
      <c r="H113" s="60" t="str" cm="1">
        <f t="array" ref="H11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4" spans="1:8" ht="19.8" x14ac:dyDescent="0.65">
      <c r="A114" s="58" t="s">
        <v>41</v>
      </c>
      <c r="B114" s="59">
        <v>45839</v>
      </c>
      <c r="C114" s="60">
        <v>178450</v>
      </c>
      <c r="D114" s="60">
        <v>198347</v>
      </c>
      <c r="E114" s="60" t="str">
        <f>tbl_performance[[#This Row],[employee_id]]&amp;"-"&amp;TEXT(tbl_performance[[#This Row],[month]],"mm")</f>
        <v>EMP1010-07</v>
      </c>
      <c r="F114" s="60">
        <f>COUNTIF(tbl_performance[employee_month_key],tbl_performance[[#This Row],[employee_month_key]])</f>
        <v>1</v>
      </c>
      <c r="G114" s="61">
        <f>tbl_performance[[#This Row],[achieved]]/tbl_performance[[#This Row],[target]]</f>
        <v>1.1114990193331464</v>
      </c>
      <c r="H114" s="60" t="str" cm="1">
        <f t="array" ref="H11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5" spans="1:8" ht="19.8" x14ac:dyDescent="0.65">
      <c r="A115" s="58" t="s">
        <v>41</v>
      </c>
      <c r="B115" s="59">
        <v>45870</v>
      </c>
      <c r="C115" s="60">
        <v>173096</v>
      </c>
      <c r="D115" s="60">
        <v>152778</v>
      </c>
      <c r="E115" s="60" t="str">
        <f>tbl_performance[[#This Row],[employee_id]]&amp;"-"&amp;TEXT(tbl_performance[[#This Row],[month]],"mm")</f>
        <v>EMP1010-08</v>
      </c>
      <c r="F115" s="60">
        <f>COUNTIF(tbl_performance[employee_month_key],tbl_performance[[#This Row],[employee_month_key]])</f>
        <v>1</v>
      </c>
      <c r="G115" s="61">
        <f>tbl_performance[[#This Row],[achieved]]/tbl_performance[[#This Row],[target]]</f>
        <v>0.88262004899015578</v>
      </c>
      <c r="H115" s="60" t="str" cm="1">
        <f t="array" ref="H11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6" spans="1:8" ht="19.8" x14ac:dyDescent="0.65">
      <c r="A116" s="58" t="s">
        <v>41</v>
      </c>
      <c r="B116" s="59">
        <v>45901</v>
      </c>
      <c r="C116" s="60">
        <v>178450</v>
      </c>
      <c r="D116" s="60">
        <v>178043</v>
      </c>
      <c r="E116" s="60" t="str">
        <f>tbl_performance[[#This Row],[employee_id]]&amp;"-"&amp;TEXT(tbl_performance[[#This Row],[month]],"mm")</f>
        <v>EMP1010-09</v>
      </c>
      <c r="F116" s="60">
        <f>COUNTIF(tbl_performance[employee_month_key],tbl_performance[[#This Row],[employee_month_key]])</f>
        <v>1</v>
      </c>
      <c r="G116" s="61">
        <f>tbl_performance[[#This Row],[achieved]]/tbl_performance[[#This Row],[target]]</f>
        <v>0.99771924908938081</v>
      </c>
      <c r="H116" s="60" t="str" cm="1">
        <f t="array" ref="H11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7" spans="1:8" ht="19.8" x14ac:dyDescent="0.65">
      <c r="A117" s="58" t="s">
        <v>41</v>
      </c>
      <c r="B117" s="59">
        <v>45931</v>
      </c>
      <c r="C117" s="60">
        <v>182019</v>
      </c>
      <c r="D117" s="60">
        <v>210194</v>
      </c>
      <c r="E117" s="60" t="str">
        <f>tbl_performance[[#This Row],[employee_id]]&amp;"-"&amp;TEXT(tbl_performance[[#This Row],[month]],"mm")</f>
        <v>EMP1010-10</v>
      </c>
      <c r="F117" s="60">
        <f>COUNTIF(tbl_performance[employee_month_key],tbl_performance[[#This Row],[employee_month_key]])</f>
        <v>1</v>
      </c>
      <c r="G117" s="61">
        <f>tbl_performance[[#This Row],[achieved]]/tbl_performance[[#This Row],[target]]</f>
        <v>1.1547915327520752</v>
      </c>
      <c r="H117" s="60" t="str" cm="1">
        <f t="array" ref="H11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8" spans="1:8" ht="19.8" x14ac:dyDescent="0.65">
      <c r="A118" s="58" t="s">
        <v>41</v>
      </c>
      <c r="B118" s="59">
        <v>45962</v>
      </c>
      <c r="C118" s="60">
        <v>178450</v>
      </c>
      <c r="D118" s="60">
        <v>205814</v>
      </c>
      <c r="E118" s="60" t="str">
        <f>tbl_performance[[#This Row],[employee_id]]&amp;"-"&amp;TEXT(tbl_performance[[#This Row],[month]],"mm")</f>
        <v>EMP1010-11</v>
      </c>
      <c r="F118" s="60">
        <f>COUNTIF(tbl_performance[employee_month_key],tbl_performance[[#This Row],[employee_month_key]])</f>
        <v>1</v>
      </c>
      <c r="G118" s="61">
        <f>tbl_performance[[#This Row],[achieved]]/tbl_performance[[#This Row],[target]]</f>
        <v>1.1533426730176519</v>
      </c>
      <c r="H118" s="60" t="str" cm="1">
        <f t="array" ref="H11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9" spans="1:8" ht="19.8" x14ac:dyDescent="0.65">
      <c r="A119" s="58" t="s">
        <v>41</v>
      </c>
      <c r="B119" s="59">
        <v>45992</v>
      </c>
      <c r="C119" s="60">
        <v>151682</v>
      </c>
      <c r="D119" s="60">
        <v>163836</v>
      </c>
      <c r="E119" s="60" t="str">
        <f>tbl_performance[[#This Row],[employee_id]]&amp;"-"&amp;TEXT(tbl_performance[[#This Row],[month]],"mm")</f>
        <v>EMP1010-12</v>
      </c>
      <c r="F119" s="60">
        <f>COUNTIF(tbl_performance[employee_month_key],tbl_performance[[#This Row],[employee_month_key]])</f>
        <v>1</v>
      </c>
      <c r="G119" s="61">
        <f>tbl_performance[[#This Row],[achieved]]/tbl_performance[[#This Row],[target]]</f>
        <v>1.0801281628670507</v>
      </c>
      <c r="H119" s="60" t="str" cm="1">
        <f t="array" ref="H119">_xlfn.IFS(tbl_performance[[#This Row],[performance_pct]]&gt;=1.1,"Excellent",tbl_performance[[#This Row],[performance_pct]]&gt;=1,"Good",tbl_performance[[#This Row],[performance_pct]]&gt;=0.85,"Average",TRUE,"Poor")</f>
        <v>Good</v>
      </c>
    </row>
    <row r="120" spans="1:8" ht="19.8" x14ac:dyDescent="0.65">
      <c r="A120" s="58" t="s">
        <v>44</v>
      </c>
      <c r="B120" s="59">
        <v>45658</v>
      </c>
      <c r="C120" s="60">
        <v>98</v>
      </c>
      <c r="D120" s="60">
        <v>97</v>
      </c>
      <c r="E120" s="60" t="str">
        <f>tbl_performance[[#This Row],[employee_id]]&amp;"-"&amp;TEXT(tbl_performance[[#This Row],[month]],"mm")</f>
        <v>EMP1011-01</v>
      </c>
      <c r="F120" s="60">
        <f>COUNTIF(tbl_performance[employee_month_key],tbl_performance[[#This Row],[employee_month_key]])</f>
        <v>1</v>
      </c>
      <c r="G120" s="61">
        <f>tbl_performance[[#This Row],[achieved]]/tbl_performance[[#This Row],[target]]</f>
        <v>0.98979591836734693</v>
      </c>
      <c r="H120" s="60" t="str" cm="1">
        <f t="array" ref="H12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1" spans="1:8" ht="19.8" x14ac:dyDescent="0.65">
      <c r="A121" s="58" t="s">
        <v>44</v>
      </c>
      <c r="B121" s="59">
        <v>45689</v>
      </c>
      <c r="C121" s="60">
        <v>91</v>
      </c>
      <c r="D121" s="60">
        <v>81</v>
      </c>
      <c r="E121" s="60" t="str">
        <f>tbl_performance[[#This Row],[employee_id]]&amp;"-"&amp;TEXT(tbl_performance[[#This Row],[month]],"mm")</f>
        <v>EMP1011-02</v>
      </c>
      <c r="F121" s="60">
        <f>COUNTIF(tbl_performance[employee_month_key],tbl_performance[[#This Row],[employee_month_key]])</f>
        <v>1</v>
      </c>
      <c r="G121" s="61">
        <f>tbl_performance[[#This Row],[achieved]]/tbl_performance[[#This Row],[target]]</f>
        <v>0.89010989010989006</v>
      </c>
      <c r="H121" s="60" t="str" cm="1">
        <f t="array" ref="H1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2" spans="1:8" ht="19.8" x14ac:dyDescent="0.65">
      <c r="A122" s="58" t="s">
        <v>44</v>
      </c>
      <c r="B122" s="59">
        <v>45717</v>
      </c>
      <c r="C122" s="60">
        <v>100</v>
      </c>
      <c r="D122" s="60">
        <v>104</v>
      </c>
      <c r="E122" s="60" t="str">
        <f>tbl_performance[[#This Row],[employee_id]]&amp;"-"&amp;TEXT(tbl_performance[[#This Row],[month]],"mm")</f>
        <v>EMP1011-03</v>
      </c>
      <c r="F122" s="60">
        <f>COUNTIF(tbl_performance[employee_month_key],tbl_performance[[#This Row],[employee_month_key]])</f>
        <v>1</v>
      </c>
      <c r="G122" s="61">
        <f>tbl_performance[[#This Row],[achieved]]/tbl_performance[[#This Row],[target]]</f>
        <v>1.04</v>
      </c>
      <c r="H122" s="60" t="str" cm="1">
        <f t="array" ref="H122">_xlfn.IFS(tbl_performance[[#This Row],[performance_pct]]&gt;=1.1,"Excellent",tbl_performance[[#This Row],[performance_pct]]&gt;=1,"Good",tbl_performance[[#This Row],[performance_pct]]&gt;=0.85,"Average",TRUE,"Poor")</f>
        <v>Good</v>
      </c>
    </row>
    <row r="123" spans="1:8" ht="19.8" x14ac:dyDescent="0.65">
      <c r="A123" s="58" t="s">
        <v>44</v>
      </c>
      <c r="B123" s="59">
        <v>45748</v>
      </c>
      <c r="C123" s="60">
        <v>98</v>
      </c>
      <c r="D123" s="60">
        <v>92</v>
      </c>
      <c r="E123" s="60" t="str">
        <f>tbl_performance[[#This Row],[employee_id]]&amp;"-"&amp;TEXT(tbl_performance[[#This Row],[month]],"mm")</f>
        <v>EMP1011-04</v>
      </c>
      <c r="F123" s="60">
        <f>COUNTIF(tbl_performance[employee_month_key],tbl_performance[[#This Row],[employee_month_key]])</f>
        <v>1</v>
      </c>
      <c r="G123" s="61">
        <f>tbl_performance[[#This Row],[achieved]]/tbl_performance[[#This Row],[target]]</f>
        <v>0.93877551020408168</v>
      </c>
      <c r="H123" s="60" t="str" cm="1">
        <f t="array" ref="H12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4" spans="1:8" ht="19.8" x14ac:dyDescent="0.65">
      <c r="A124" s="58" t="s">
        <v>44</v>
      </c>
      <c r="B124" s="59">
        <v>45778</v>
      </c>
      <c r="C124" s="60">
        <v>98</v>
      </c>
      <c r="D124" s="60">
        <v>88</v>
      </c>
      <c r="E124" s="60" t="str">
        <f>tbl_performance[[#This Row],[employee_id]]&amp;"-"&amp;TEXT(tbl_performance[[#This Row],[month]],"mm")</f>
        <v>EMP1011-05</v>
      </c>
      <c r="F124" s="60">
        <f>COUNTIF(tbl_performance[employee_month_key],tbl_performance[[#This Row],[employee_month_key]])</f>
        <v>1</v>
      </c>
      <c r="G124" s="61">
        <f>tbl_performance[[#This Row],[achieved]]/tbl_performance[[#This Row],[target]]</f>
        <v>0.89795918367346939</v>
      </c>
      <c r="H124" s="60" t="str" cm="1">
        <f t="array" ref="H12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5" spans="1:8" ht="19.8" x14ac:dyDescent="0.65">
      <c r="A125" s="58" t="s">
        <v>44</v>
      </c>
      <c r="B125" s="59">
        <v>45809</v>
      </c>
      <c r="C125" s="60">
        <v>96</v>
      </c>
      <c r="D125" s="60">
        <v>109</v>
      </c>
      <c r="E125" s="60" t="str">
        <f>tbl_performance[[#This Row],[employee_id]]&amp;"-"&amp;TEXT(tbl_performance[[#This Row],[month]],"mm")</f>
        <v>EMP1011-06</v>
      </c>
      <c r="F125" s="60">
        <f>COUNTIF(tbl_performance[employee_month_key],tbl_performance[[#This Row],[employee_month_key]])</f>
        <v>1</v>
      </c>
      <c r="G125" s="61">
        <f>tbl_performance[[#This Row],[achieved]]/tbl_performance[[#This Row],[target]]</f>
        <v>1.1354166666666667</v>
      </c>
      <c r="H125" s="60" t="str" cm="1">
        <f t="array" ref="H12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26" spans="1:8" ht="19.8" x14ac:dyDescent="0.65">
      <c r="A126" s="58" t="s">
        <v>44</v>
      </c>
      <c r="B126" s="59">
        <v>45839</v>
      </c>
      <c r="C126" s="60">
        <v>98</v>
      </c>
      <c r="D126" s="60">
        <v>96</v>
      </c>
      <c r="E126" s="60" t="str">
        <f>tbl_performance[[#This Row],[employee_id]]&amp;"-"&amp;TEXT(tbl_performance[[#This Row],[month]],"mm")</f>
        <v>EMP1011-07</v>
      </c>
      <c r="F126" s="60">
        <f>COUNTIF(tbl_performance[employee_month_key],tbl_performance[[#This Row],[employee_month_key]])</f>
        <v>1</v>
      </c>
      <c r="G126" s="61">
        <f>tbl_performance[[#This Row],[achieved]]/tbl_performance[[#This Row],[target]]</f>
        <v>0.97959183673469385</v>
      </c>
      <c r="H126" s="60" t="str" cm="1">
        <f t="array" ref="H1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7" spans="1:8" ht="19.8" x14ac:dyDescent="0.65">
      <c r="A127" s="58" t="s">
        <v>44</v>
      </c>
      <c r="B127" s="59">
        <v>45870</v>
      </c>
      <c r="C127" s="60">
        <v>95</v>
      </c>
      <c r="D127" s="60">
        <v>76</v>
      </c>
      <c r="E127" s="60" t="str">
        <f>tbl_performance[[#This Row],[employee_id]]&amp;"-"&amp;TEXT(tbl_performance[[#This Row],[month]],"mm")</f>
        <v>EMP1011-08</v>
      </c>
      <c r="F127" s="60">
        <f>COUNTIF(tbl_performance[employee_month_key],tbl_performance[[#This Row],[employee_month_key]])</f>
        <v>1</v>
      </c>
      <c r="G127" s="61">
        <f>tbl_performance[[#This Row],[achieved]]/tbl_performance[[#This Row],[target]]</f>
        <v>0.8</v>
      </c>
      <c r="H127" s="60" t="str" cm="1">
        <f t="array" ref="H127">_xlfn.IFS(tbl_performance[[#This Row],[performance_pct]]&gt;=1.1,"Excellent",tbl_performance[[#This Row],[performance_pct]]&gt;=1,"Good",tbl_performance[[#This Row],[performance_pct]]&gt;=0.85,"Average",TRUE,"Poor")</f>
        <v>Poor</v>
      </c>
    </row>
    <row r="128" spans="1:8" ht="19.8" x14ac:dyDescent="0.65">
      <c r="A128" s="58" t="s">
        <v>44</v>
      </c>
      <c r="B128" s="59">
        <v>45901</v>
      </c>
      <c r="C128" s="60">
        <v>98</v>
      </c>
      <c r="D128" s="60">
        <v>93</v>
      </c>
      <c r="E128" s="60" t="str">
        <f>tbl_performance[[#This Row],[employee_id]]&amp;"-"&amp;TEXT(tbl_performance[[#This Row],[month]],"mm")</f>
        <v>EMP1011-09</v>
      </c>
      <c r="F128" s="60">
        <f>COUNTIF(tbl_performance[employee_month_key],tbl_performance[[#This Row],[employee_month_key]])</f>
        <v>1</v>
      </c>
      <c r="G128" s="61">
        <f>tbl_performance[[#This Row],[achieved]]/tbl_performance[[#This Row],[target]]</f>
        <v>0.94897959183673475</v>
      </c>
      <c r="H128" s="60" t="str" cm="1">
        <f t="array" ref="H12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29" spans="1:8" ht="19.8" x14ac:dyDescent="0.65">
      <c r="A129" s="58" t="s">
        <v>44</v>
      </c>
      <c r="B129" s="59">
        <v>45931</v>
      </c>
      <c r="C129" s="60">
        <v>100</v>
      </c>
      <c r="D129" s="60">
        <v>89</v>
      </c>
      <c r="E129" s="60" t="str">
        <f>tbl_performance[[#This Row],[employee_id]]&amp;"-"&amp;TEXT(tbl_performance[[#This Row],[month]],"mm")</f>
        <v>EMP1011-10</v>
      </c>
      <c r="F129" s="60">
        <f>COUNTIF(tbl_performance[employee_month_key],tbl_performance[[#This Row],[employee_month_key]])</f>
        <v>1</v>
      </c>
      <c r="G129" s="61">
        <f>tbl_performance[[#This Row],[achieved]]/tbl_performance[[#This Row],[target]]</f>
        <v>0.89</v>
      </c>
      <c r="H129" s="60" t="str" cm="1">
        <f t="array" ref="H12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0" spans="1:8" ht="19.8" x14ac:dyDescent="0.65">
      <c r="A130" s="58" t="s">
        <v>44</v>
      </c>
      <c r="B130" s="59">
        <v>45962</v>
      </c>
      <c r="C130" s="60">
        <v>98</v>
      </c>
      <c r="D130" s="60">
        <v>108</v>
      </c>
      <c r="E130" s="60" t="str">
        <f>tbl_performance[[#This Row],[employee_id]]&amp;"-"&amp;TEXT(tbl_performance[[#This Row],[month]],"mm")</f>
        <v>EMP1011-11</v>
      </c>
      <c r="F130" s="60">
        <f>COUNTIF(tbl_performance[employee_month_key],tbl_performance[[#This Row],[employee_month_key]])</f>
        <v>1</v>
      </c>
      <c r="G130" s="61">
        <f>tbl_performance[[#This Row],[achieved]]/tbl_performance[[#This Row],[target]]</f>
        <v>1.1020408163265305</v>
      </c>
      <c r="H130" s="60" t="str" cm="1">
        <f t="array" ref="H13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31" spans="1:8" ht="19.8" x14ac:dyDescent="0.65">
      <c r="A131" s="58" t="s">
        <v>44</v>
      </c>
      <c r="B131" s="59">
        <v>45992</v>
      </c>
      <c r="C131" s="60">
        <v>83</v>
      </c>
      <c r="D131" s="60">
        <v>73</v>
      </c>
      <c r="E131" s="60" t="str">
        <f>tbl_performance[[#This Row],[employee_id]]&amp;"-"&amp;TEXT(tbl_performance[[#This Row],[month]],"mm")</f>
        <v>EMP1011-12</v>
      </c>
      <c r="F131" s="60">
        <f>COUNTIF(tbl_performance[employee_month_key],tbl_performance[[#This Row],[employee_month_key]])</f>
        <v>1</v>
      </c>
      <c r="G131" s="61">
        <f>tbl_performance[[#This Row],[achieved]]/tbl_performance[[#This Row],[target]]</f>
        <v>0.87951807228915657</v>
      </c>
      <c r="H131" s="60" t="str" cm="1">
        <f t="array" ref="H13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2" spans="1:8" ht="19.8" x14ac:dyDescent="0.65">
      <c r="A132" s="58" t="s">
        <v>46</v>
      </c>
      <c r="B132" s="59">
        <v>45658</v>
      </c>
      <c r="C132" s="60">
        <v>166823</v>
      </c>
      <c r="D132" s="60">
        <v>161273</v>
      </c>
      <c r="E132" s="60" t="str">
        <f>tbl_performance[[#This Row],[employee_id]]&amp;"-"&amp;TEXT(tbl_performance[[#This Row],[month]],"mm")</f>
        <v>EMP1012-01</v>
      </c>
      <c r="F132" s="60">
        <f>COUNTIF(tbl_performance[employee_month_key],tbl_performance[[#This Row],[employee_month_key]])</f>
        <v>1</v>
      </c>
      <c r="G132" s="61">
        <f>tbl_performance[[#This Row],[achieved]]/tbl_performance[[#This Row],[target]]</f>
        <v>0.96673120612865138</v>
      </c>
      <c r="H132" s="60" t="str" cm="1">
        <f t="array" ref="H13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3" spans="1:8" ht="19.8" x14ac:dyDescent="0.65">
      <c r="A133" s="58" t="s">
        <v>46</v>
      </c>
      <c r="B133" s="59">
        <v>45689</v>
      </c>
      <c r="C133" s="60">
        <v>155145</v>
      </c>
      <c r="D133" s="60">
        <v>158683</v>
      </c>
      <c r="E133" s="60" t="str">
        <f>tbl_performance[[#This Row],[employee_id]]&amp;"-"&amp;TEXT(tbl_performance[[#This Row],[month]],"mm")</f>
        <v>EMP1012-02</v>
      </c>
      <c r="F133" s="60">
        <f>COUNTIF(tbl_performance[employee_month_key],tbl_performance[[#This Row],[employee_month_key]])</f>
        <v>1</v>
      </c>
      <c r="G133" s="61">
        <f>tbl_performance[[#This Row],[achieved]]/tbl_performance[[#This Row],[target]]</f>
        <v>1.0228044732347159</v>
      </c>
      <c r="H133" s="60" t="str" cm="1">
        <f t="array" ref="H133">_xlfn.IFS(tbl_performance[[#This Row],[performance_pct]]&gt;=1.1,"Excellent",tbl_performance[[#This Row],[performance_pct]]&gt;=1,"Good",tbl_performance[[#This Row],[performance_pct]]&gt;=0.85,"Average",TRUE,"Poor")</f>
        <v>Good</v>
      </c>
    </row>
    <row r="134" spans="1:8" ht="19.8" x14ac:dyDescent="0.65">
      <c r="A134" s="58" t="s">
        <v>46</v>
      </c>
      <c r="B134" s="59">
        <v>45717</v>
      </c>
      <c r="C134" s="60">
        <v>170159</v>
      </c>
      <c r="D134" s="60">
        <v>143989</v>
      </c>
      <c r="E134" s="60" t="str">
        <f>tbl_performance[[#This Row],[employee_id]]&amp;"-"&amp;TEXT(tbl_performance[[#This Row],[month]],"mm")</f>
        <v>EMP1012-03</v>
      </c>
      <c r="F134" s="60">
        <f>COUNTIF(tbl_performance[employee_month_key],tbl_performance[[#This Row],[employee_month_key]])</f>
        <v>1</v>
      </c>
      <c r="G134" s="61">
        <f>tbl_performance[[#This Row],[achieved]]/tbl_performance[[#This Row],[target]]</f>
        <v>0.84620266926815513</v>
      </c>
      <c r="H134" s="60" t="str" cm="1">
        <f t="array" ref="H134">_xlfn.IFS(tbl_performance[[#This Row],[performance_pct]]&gt;=1.1,"Excellent",tbl_performance[[#This Row],[performance_pct]]&gt;=1,"Good",tbl_performance[[#This Row],[performance_pct]]&gt;=0.85,"Average",TRUE,"Poor")</f>
        <v>Poor</v>
      </c>
    </row>
    <row r="135" spans="1:8" ht="19.8" x14ac:dyDescent="0.65">
      <c r="A135" s="58" t="s">
        <v>46</v>
      </c>
      <c r="B135" s="59">
        <v>45748</v>
      </c>
      <c r="C135" s="60">
        <v>166823</v>
      </c>
      <c r="D135" s="60">
        <v>155609</v>
      </c>
      <c r="E135" s="60" t="str">
        <f>tbl_performance[[#This Row],[employee_id]]&amp;"-"&amp;TEXT(tbl_performance[[#This Row],[month]],"mm")</f>
        <v>EMP1012-04</v>
      </c>
      <c r="F135" s="60">
        <f>COUNTIF(tbl_performance[employee_month_key],tbl_performance[[#This Row],[employee_month_key]])</f>
        <v>1</v>
      </c>
      <c r="G135" s="61">
        <f>tbl_performance[[#This Row],[achieved]]/tbl_performance[[#This Row],[target]]</f>
        <v>0.93277905324805332</v>
      </c>
      <c r="H135" s="60" t="str" cm="1">
        <f t="array" ref="H13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6" spans="1:8" ht="19.8" x14ac:dyDescent="0.65">
      <c r="A136" s="58" t="s">
        <v>46</v>
      </c>
      <c r="B136" s="59">
        <v>45778</v>
      </c>
      <c r="C136" s="60">
        <v>166823</v>
      </c>
      <c r="D136" s="60">
        <v>153266</v>
      </c>
      <c r="E136" s="60" t="str">
        <f>tbl_performance[[#This Row],[employee_id]]&amp;"-"&amp;TEXT(tbl_performance[[#This Row],[month]],"mm")</f>
        <v>EMP1012-05</v>
      </c>
      <c r="F136" s="60">
        <f>COUNTIF(tbl_performance[employee_month_key],tbl_performance[[#This Row],[employee_month_key]])</f>
        <v>1</v>
      </c>
      <c r="G136" s="61">
        <f>tbl_performance[[#This Row],[achieved]]/tbl_performance[[#This Row],[target]]</f>
        <v>0.91873422729479748</v>
      </c>
      <c r="H136" s="60" t="str" cm="1">
        <f t="array" ref="H13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7" spans="1:8" ht="19.8" x14ac:dyDescent="0.65">
      <c r="A137" s="58" t="s">
        <v>46</v>
      </c>
      <c r="B137" s="59">
        <v>45809</v>
      </c>
      <c r="C137" s="60">
        <v>163486</v>
      </c>
      <c r="D137" s="60">
        <v>147284</v>
      </c>
      <c r="E137" s="60" t="str">
        <f>tbl_performance[[#This Row],[employee_id]]&amp;"-"&amp;TEXT(tbl_performance[[#This Row],[month]],"mm")</f>
        <v>EMP1012-06</v>
      </c>
      <c r="F137" s="60">
        <f>COUNTIF(tbl_performance[employee_month_key],tbl_performance[[#This Row],[employee_month_key]])</f>
        <v>1</v>
      </c>
      <c r="G137" s="61">
        <f>tbl_performance[[#This Row],[achieved]]/tbl_performance[[#This Row],[target]]</f>
        <v>0.90089671286838013</v>
      </c>
      <c r="H137" s="60" t="str" cm="1">
        <f t="array" ref="H13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38" spans="1:8" ht="19.8" x14ac:dyDescent="0.65">
      <c r="A138" s="58" t="s">
        <v>46</v>
      </c>
      <c r="B138" s="59">
        <v>45839</v>
      </c>
      <c r="C138" s="60">
        <v>166823</v>
      </c>
      <c r="D138" s="60">
        <v>190641</v>
      </c>
      <c r="E138" s="60" t="str">
        <f>tbl_performance[[#This Row],[employee_id]]&amp;"-"&amp;TEXT(tbl_performance[[#This Row],[month]],"mm")</f>
        <v>EMP1012-07</v>
      </c>
      <c r="F138" s="60">
        <f>COUNTIF(tbl_performance[employee_month_key],tbl_performance[[#This Row],[employee_month_key]])</f>
        <v>1</v>
      </c>
      <c r="G138" s="61">
        <f>tbl_performance[[#This Row],[achieved]]/tbl_performance[[#This Row],[target]]</f>
        <v>1.1427740779149158</v>
      </c>
      <c r="H138" s="60" t="str" cm="1">
        <f t="array" ref="H1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39" spans="1:8" ht="19.8" x14ac:dyDescent="0.65">
      <c r="A139" s="58" t="s">
        <v>46</v>
      </c>
      <c r="B139" s="59">
        <v>45870</v>
      </c>
      <c r="C139" s="60">
        <v>161818</v>
      </c>
      <c r="D139" s="60">
        <v>162907</v>
      </c>
      <c r="E139" s="60" t="str">
        <f>tbl_performance[[#This Row],[employee_id]]&amp;"-"&amp;TEXT(tbl_performance[[#This Row],[month]],"mm")</f>
        <v>EMP1012-08</v>
      </c>
      <c r="F139" s="60">
        <f>COUNTIF(tbl_performance[employee_month_key],tbl_performance[[#This Row],[employee_month_key]])</f>
        <v>1</v>
      </c>
      <c r="G139" s="61">
        <f>tbl_performance[[#This Row],[achieved]]/tbl_performance[[#This Row],[target]]</f>
        <v>1.0067297828424526</v>
      </c>
      <c r="H139" s="60" t="str" cm="1">
        <f t="array" ref="H139">_xlfn.IFS(tbl_performance[[#This Row],[performance_pct]]&gt;=1.1,"Excellent",tbl_performance[[#This Row],[performance_pct]]&gt;=1,"Good",tbl_performance[[#This Row],[performance_pct]]&gt;=0.85,"Average",TRUE,"Poor")</f>
        <v>Good</v>
      </c>
    </row>
    <row r="140" spans="1:8" ht="19.8" x14ac:dyDescent="0.65">
      <c r="A140" s="58" t="s">
        <v>46</v>
      </c>
      <c r="B140" s="59">
        <v>45901</v>
      </c>
      <c r="C140" s="60">
        <v>166823</v>
      </c>
      <c r="D140" s="60">
        <v>140155</v>
      </c>
      <c r="E140" s="60" t="str">
        <f>tbl_performance[[#This Row],[employee_id]]&amp;"-"&amp;TEXT(tbl_performance[[#This Row],[month]],"mm")</f>
        <v>EMP1012-09</v>
      </c>
      <c r="F140" s="60">
        <f>COUNTIF(tbl_performance[employee_month_key],tbl_performance[[#This Row],[employee_month_key]])</f>
        <v>1</v>
      </c>
      <c r="G140" s="61">
        <f>tbl_performance[[#This Row],[achieved]]/tbl_performance[[#This Row],[target]]</f>
        <v>0.84014194685385113</v>
      </c>
      <c r="H140" s="60" t="str" cm="1">
        <f t="array" ref="H140">_xlfn.IFS(tbl_performance[[#This Row],[performance_pct]]&gt;=1.1,"Excellent",tbl_performance[[#This Row],[performance_pct]]&gt;=1,"Good",tbl_performance[[#This Row],[performance_pct]]&gt;=0.85,"Average",TRUE,"Poor")</f>
        <v>Poor</v>
      </c>
    </row>
    <row r="141" spans="1:8" ht="19.8" x14ac:dyDescent="0.65">
      <c r="A141" s="58" t="s">
        <v>46</v>
      </c>
      <c r="B141" s="59">
        <v>45931</v>
      </c>
      <c r="C141" s="60">
        <v>170159</v>
      </c>
      <c r="D141" s="60">
        <v>180031</v>
      </c>
      <c r="E141" s="60" t="str">
        <f>tbl_performance[[#This Row],[employee_id]]&amp;"-"&amp;TEXT(tbl_performance[[#This Row],[month]],"mm")</f>
        <v>EMP1012-10</v>
      </c>
      <c r="F141" s="60">
        <f>COUNTIF(tbl_performance[employee_month_key],tbl_performance[[#This Row],[employee_month_key]])</f>
        <v>1</v>
      </c>
      <c r="G141" s="61">
        <f>tbl_performance[[#This Row],[achieved]]/tbl_performance[[#This Row],[target]]</f>
        <v>1.0580163259069459</v>
      </c>
      <c r="H141" s="60" t="str" cm="1">
        <f t="array" ref="H141">_xlfn.IFS(tbl_performance[[#This Row],[performance_pct]]&gt;=1.1,"Excellent",tbl_performance[[#This Row],[performance_pct]]&gt;=1,"Good",tbl_performance[[#This Row],[performance_pct]]&gt;=0.85,"Average",TRUE,"Poor")</f>
        <v>Good</v>
      </c>
    </row>
    <row r="142" spans="1:8" ht="19.8" x14ac:dyDescent="0.65">
      <c r="A142" s="58" t="s">
        <v>46</v>
      </c>
      <c r="B142" s="59">
        <v>45962</v>
      </c>
      <c r="C142" s="60">
        <v>166823</v>
      </c>
      <c r="D142" s="60">
        <v>213274</v>
      </c>
      <c r="E142" s="60" t="str">
        <f>tbl_performance[[#This Row],[employee_id]]&amp;"-"&amp;TEXT(tbl_performance[[#This Row],[month]],"mm")</f>
        <v>EMP1012-11</v>
      </c>
      <c r="F142" s="60">
        <f>COUNTIF(tbl_performance[employee_month_key],tbl_performance[[#This Row],[employee_month_key]])</f>
        <v>1</v>
      </c>
      <c r="G142" s="61">
        <f>tbl_performance[[#This Row],[achieved]]/tbl_performance[[#This Row],[target]]</f>
        <v>1.278444818760003</v>
      </c>
      <c r="H142" s="60" t="str" cm="1">
        <f t="array" ref="H14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43" spans="1:8" ht="19.8" x14ac:dyDescent="0.65">
      <c r="A143" s="58" t="s">
        <v>46</v>
      </c>
      <c r="B143" s="59">
        <v>45992</v>
      </c>
      <c r="C143" s="60">
        <v>141799</v>
      </c>
      <c r="D143" s="60">
        <v>171503</v>
      </c>
      <c r="E143" s="60" t="str">
        <f>tbl_performance[[#This Row],[employee_id]]&amp;"-"&amp;TEXT(tbl_performance[[#This Row],[month]],"mm")</f>
        <v>EMP1012-12</v>
      </c>
      <c r="F143" s="60">
        <f>COUNTIF(tbl_performance[employee_month_key],tbl_performance[[#This Row],[employee_month_key]])</f>
        <v>1</v>
      </c>
      <c r="G143" s="61">
        <f>tbl_performance[[#This Row],[achieved]]/tbl_performance[[#This Row],[target]]</f>
        <v>1.2094796155120981</v>
      </c>
      <c r="H143" s="60" t="str" cm="1">
        <f t="array" ref="H14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44" spans="1:8" ht="19.8" x14ac:dyDescent="0.65">
      <c r="A144" s="58" t="s">
        <v>48</v>
      </c>
      <c r="B144" s="59">
        <v>45658</v>
      </c>
      <c r="C144" s="60">
        <v>32</v>
      </c>
      <c r="D144" s="60">
        <v>31</v>
      </c>
      <c r="E144" s="60" t="str">
        <f>tbl_performance[[#This Row],[employee_id]]&amp;"-"&amp;TEXT(tbl_performance[[#This Row],[month]],"mm")</f>
        <v>EMP1013-01</v>
      </c>
      <c r="F144" s="60">
        <f>COUNTIF(tbl_performance[employee_month_key],tbl_performance[[#This Row],[employee_month_key]])</f>
        <v>1</v>
      </c>
      <c r="G144" s="61">
        <f>tbl_performance[[#This Row],[achieved]]/tbl_performance[[#This Row],[target]]</f>
        <v>0.96875</v>
      </c>
      <c r="H144" s="60" t="str" cm="1">
        <f t="array" ref="H14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45" spans="1:8" ht="19.8" x14ac:dyDescent="0.65">
      <c r="A145" s="58" t="s">
        <v>48</v>
      </c>
      <c r="B145" s="59">
        <v>45689</v>
      </c>
      <c r="C145" s="60">
        <v>30</v>
      </c>
      <c r="D145" s="60">
        <v>31</v>
      </c>
      <c r="E145" s="60" t="str">
        <f>tbl_performance[[#This Row],[employee_id]]&amp;"-"&amp;TEXT(tbl_performance[[#This Row],[month]],"mm")</f>
        <v>EMP1013-02</v>
      </c>
      <c r="F145" s="60">
        <f>COUNTIF(tbl_performance[employee_month_key],tbl_performance[[#This Row],[employee_month_key]])</f>
        <v>1</v>
      </c>
      <c r="G145" s="61">
        <f>tbl_performance[[#This Row],[achieved]]/tbl_performance[[#This Row],[target]]</f>
        <v>1.0333333333333334</v>
      </c>
      <c r="H145" s="60" t="str" cm="1">
        <f t="array" ref="H145">_xlfn.IFS(tbl_performance[[#This Row],[performance_pct]]&gt;=1.1,"Excellent",tbl_performance[[#This Row],[performance_pct]]&gt;=1,"Good",tbl_performance[[#This Row],[performance_pct]]&gt;=0.85,"Average",TRUE,"Poor")</f>
        <v>Good</v>
      </c>
    </row>
    <row r="146" spans="1:8" ht="19.8" x14ac:dyDescent="0.65">
      <c r="A146" s="58" t="s">
        <v>48</v>
      </c>
      <c r="B146" s="59">
        <v>45717</v>
      </c>
      <c r="C146" s="60">
        <v>33</v>
      </c>
      <c r="D146" s="60">
        <v>31</v>
      </c>
      <c r="E146" s="60" t="str">
        <f>tbl_performance[[#This Row],[employee_id]]&amp;"-"&amp;TEXT(tbl_performance[[#This Row],[month]],"mm")</f>
        <v>EMP1013-03</v>
      </c>
      <c r="F146" s="60">
        <f>COUNTIF(tbl_performance[employee_month_key],tbl_performance[[#This Row],[employee_month_key]])</f>
        <v>1</v>
      </c>
      <c r="G146" s="61">
        <f>tbl_performance[[#This Row],[achieved]]/tbl_performance[[#This Row],[target]]</f>
        <v>0.93939393939393945</v>
      </c>
      <c r="H146" s="60" t="str" cm="1">
        <f t="array" ref="H14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47" spans="1:8" ht="19.8" x14ac:dyDescent="0.65">
      <c r="A147" s="58" t="s">
        <v>48</v>
      </c>
      <c r="B147" s="59">
        <v>45748</v>
      </c>
      <c r="C147" s="60">
        <v>32</v>
      </c>
      <c r="D147" s="60">
        <v>32</v>
      </c>
      <c r="E147" s="60" t="str">
        <f>tbl_performance[[#This Row],[employee_id]]&amp;"-"&amp;TEXT(tbl_performance[[#This Row],[month]],"mm")</f>
        <v>EMP1013-04</v>
      </c>
      <c r="F147" s="60">
        <f>COUNTIF(tbl_performance[employee_month_key],tbl_performance[[#This Row],[employee_month_key]])</f>
        <v>1</v>
      </c>
      <c r="G147" s="61">
        <f>tbl_performance[[#This Row],[achieved]]/tbl_performance[[#This Row],[target]]</f>
        <v>1</v>
      </c>
      <c r="H147" s="60" t="str" cm="1">
        <f t="array" ref="H147">_xlfn.IFS(tbl_performance[[#This Row],[performance_pct]]&gt;=1.1,"Excellent",tbl_performance[[#This Row],[performance_pct]]&gt;=1,"Good",tbl_performance[[#This Row],[performance_pct]]&gt;=0.85,"Average",TRUE,"Poor")</f>
        <v>Good</v>
      </c>
    </row>
    <row r="148" spans="1:8" ht="19.8" x14ac:dyDescent="0.65">
      <c r="A148" s="58" t="s">
        <v>48</v>
      </c>
      <c r="B148" s="59">
        <v>45778</v>
      </c>
      <c r="C148" s="60">
        <v>32</v>
      </c>
      <c r="D148" s="60">
        <v>32</v>
      </c>
      <c r="E148" s="60" t="str">
        <f>tbl_performance[[#This Row],[employee_id]]&amp;"-"&amp;TEXT(tbl_performance[[#This Row],[month]],"mm")</f>
        <v>EMP1013-05</v>
      </c>
      <c r="F148" s="60">
        <f>COUNTIF(tbl_performance[employee_month_key],tbl_performance[[#This Row],[employee_month_key]])</f>
        <v>1</v>
      </c>
      <c r="G148" s="61">
        <f>tbl_performance[[#This Row],[achieved]]/tbl_performance[[#This Row],[target]]</f>
        <v>1</v>
      </c>
      <c r="H148" s="60" t="str" cm="1">
        <f t="array" ref="H148">_xlfn.IFS(tbl_performance[[#This Row],[performance_pct]]&gt;=1.1,"Excellent",tbl_performance[[#This Row],[performance_pct]]&gt;=1,"Good",tbl_performance[[#This Row],[performance_pct]]&gt;=0.85,"Average",TRUE,"Poor")</f>
        <v>Good</v>
      </c>
    </row>
    <row r="149" spans="1:8" ht="19.8" x14ac:dyDescent="0.65">
      <c r="A149" s="58" t="s">
        <v>48</v>
      </c>
      <c r="B149" s="59">
        <v>45809</v>
      </c>
      <c r="C149" s="60">
        <v>31</v>
      </c>
      <c r="D149" s="60">
        <v>29</v>
      </c>
      <c r="E149" s="60" t="str">
        <f>tbl_performance[[#This Row],[employee_id]]&amp;"-"&amp;TEXT(tbl_performance[[#This Row],[month]],"mm")</f>
        <v>EMP1013-06</v>
      </c>
      <c r="F149" s="60">
        <f>COUNTIF(tbl_performance[employee_month_key],tbl_performance[[#This Row],[employee_month_key]])</f>
        <v>1</v>
      </c>
      <c r="G149" s="61">
        <f>tbl_performance[[#This Row],[achieved]]/tbl_performance[[#This Row],[target]]</f>
        <v>0.93548387096774188</v>
      </c>
      <c r="H149" s="60" t="str" cm="1">
        <f t="array" ref="H14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0" spans="1:8" ht="19.8" x14ac:dyDescent="0.65">
      <c r="A150" s="58" t="s">
        <v>48</v>
      </c>
      <c r="B150" s="59">
        <v>45839</v>
      </c>
      <c r="C150" s="60">
        <v>32</v>
      </c>
      <c r="D150" s="60">
        <v>31</v>
      </c>
      <c r="E150" s="60" t="str">
        <f>tbl_performance[[#This Row],[employee_id]]&amp;"-"&amp;TEXT(tbl_performance[[#This Row],[month]],"mm")</f>
        <v>EMP1013-07</v>
      </c>
      <c r="F150" s="60">
        <f>COUNTIF(tbl_performance[employee_month_key],tbl_performance[[#This Row],[employee_month_key]])</f>
        <v>1</v>
      </c>
      <c r="G150" s="61">
        <f>tbl_performance[[#This Row],[achieved]]/tbl_performance[[#This Row],[target]]</f>
        <v>0.96875</v>
      </c>
      <c r="H150" s="60" t="str" cm="1">
        <f t="array" ref="H15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1" spans="1:8" ht="19.8" x14ac:dyDescent="0.65">
      <c r="A151" s="58" t="s">
        <v>48</v>
      </c>
      <c r="B151" s="59">
        <v>45870</v>
      </c>
      <c r="C151" s="60">
        <v>31</v>
      </c>
      <c r="D151" s="60">
        <v>26</v>
      </c>
      <c r="E151" s="60" t="str">
        <f>tbl_performance[[#This Row],[employee_id]]&amp;"-"&amp;TEXT(tbl_performance[[#This Row],[month]],"mm")</f>
        <v>EMP1013-08</v>
      </c>
      <c r="F151" s="60">
        <f>COUNTIF(tbl_performance[employee_month_key],tbl_performance[[#This Row],[employee_month_key]])</f>
        <v>1</v>
      </c>
      <c r="G151" s="61">
        <f>tbl_performance[[#This Row],[achieved]]/tbl_performance[[#This Row],[target]]</f>
        <v>0.83870967741935487</v>
      </c>
      <c r="H151" s="60" t="str" cm="1">
        <f t="array" ref="H151">_xlfn.IFS(tbl_performance[[#This Row],[performance_pct]]&gt;=1.1,"Excellent",tbl_performance[[#This Row],[performance_pct]]&gt;=1,"Good",tbl_performance[[#This Row],[performance_pct]]&gt;=0.85,"Average",TRUE,"Poor")</f>
        <v>Poor</v>
      </c>
    </row>
    <row r="152" spans="1:8" ht="19.8" x14ac:dyDescent="0.65">
      <c r="A152" s="58" t="s">
        <v>48</v>
      </c>
      <c r="B152" s="59">
        <v>45901</v>
      </c>
      <c r="C152" s="60">
        <v>32</v>
      </c>
      <c r="D152" s="60">
        <v>30</v>
      </c>
      <c r="E152" s="60" t="str">
        <f>tbl_performance[[#This Row],[employee_id]]&amp;"-"&amp;TEXT(tbl_performance[[#This Row],[month]],"mm")</f>
        <v>EMP1013-09</v>
      </c>
      <c r="F152" s="60">
        <f>COUNTIF(tbl_performance[employee_month_key],tbl_performance[[#This Row],[employee_month_key]])</f>
        <v>1</v>
      </c>
      <c r="G152" s="61">
        <f>tbl_performance[[#This Row],[achieved]]/tbl_performance[[#This Row],[target]]</f>
        <v>0.9375</v>
      </c>
      <c r="H152" s="60" t="str" cm="1">
        <f t="array" ref="H15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3" spans="1:8" ht="19.8" x14ac:dyDescent="0.65">
      <c r="A153" s="58" t="s">
        <v>48</v>
      </c>
      <c r="B153" s="59">
        <v>45931</v>
      </c>
      <c r="C153" s="60">
        <v>33</v>
      </c>
      <c r="D153" s="60">
        <v>32</v>
      </c>
      <c r="E153" s="60" t="str">
        <f>tbl_performance[[#This Row],[employee_id]]&amp;"-"&amp;TEXT(tbl_performance[[#This Row],[month]],"mm")</f>
        <v>EMP1013-10</v>
      </c>
      <c r="F153" s="60">
        <f>COUNTIF(tbl_performance[employee_month_key],tbl_performance[[#This Row],[employee_month_key]])</f>
        <v>1</v>
      </c>
      <c r="G153" s="61">
        <f>tbl_performance[[#This Row],[achieved]]/tbl_performance[[#This Row],[target]]</f>
        <v>0.96969696969696972</v>
      </c>
      <c r="H153" s="60" t="str" cm="1">
        <f t="array" ref="H15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4" spans="1:8" ht="19.8" x14ac:dyDescent="0.65">
      <c r="A154" s="58" t="s">
        <v>48</v>
      </c>
      <c r="B154" s="59">
        <v>45962</v>
      </c>
      <c r="C154" s="60">
        <v>32</v>
      </c>
      <c r="D154" s="60">
        <v>30</v>
      </c>
      <c r="E154" s="60" t="str">
        <f>tbl_performance[[#This Row],[employee_id]]&amp;"-"&amp;TEXT(tbl_performance[[#This Row],[month]],"mm")</f>
        <v>EMP1013-11</v>
      </c>
      <c r="F154" s="60">
        <f>COUNTIF(tbl_performance[employee_month_key],tbl_performance[[#This Row],[employee_month_key]])</f>
        <v>1</v>
      </c>
      <c r="G154" s="61">
        <f>tbl_performance[[#This Row],[achieved]]/tbl_performance[[#This Row],[target]]</f>
        <v>0.9375</v>
      </c>
      <c r="H154" s="60" t="str" cm="1">
        <f t="array" ref="H15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5" spans="1:8" ht="19.8" x14ac:dyDescent="0.65">
      <c r="A155" s="58" t="s">
        <v>48</v>
      </c>
      <c r="B155" s="59">
        <v>45992</v>
      </c>
      <c r="C155" s="60">
        <v>27</v>
      </c>
      <c r="D155" s="60">
        <v>27</v>
      </c>
      <c r="E155" s="60" t="str">
        <f>tbl_performance[[#This Row],[employee_id]]&amp;"-"&amp;TEXT(tbl_performance[[#This Row],[month]],"mm")</f>
        <v>EMP1013-12</v>
      </c>
      <c r="F155" s="60">
        <f>COUNTIF(tbl_performance[employee_month_key],tbl_performance[[#This Row],[employee_month_key]])</f>
        <v>1</v>
      </c>
      <c r="G155" s="61">
        <f>tbl_performance[[#This Row],[achieved]]/tbl_performance[[#This Row],[target]]</f>
        <v>1</v>
      </c>
      <c r="H155" s="60" t="str" cm="1">
        <f t="array" ref="H155">_xlfn.IFS(tbl_performance[[#This Row],[performance_pct]]&gt;=1.1,"Excellent",tbl_performance[[#This Row],[performance_pct]]&gt;=1,"Good",tbl_performance[[#This Row],[performance_pct]]&gt;=0.85,"Average",TRUE,"Poor")</f>
        <v>Good</v>
      </c>
    </row>
    <row r="156" spans="1:8" ht="19.8" x14ac:dyDescent="0.65">
      <c r="A156" s="58" t="s">
        <v>51</v>
      </c>
      <c r="B156" s="59">
        <v>45658</v>
      </c>
      <c r="C156" s="60">
        <v>57796</v>
      </c>
      <c r="D156" s="60">
        <v>39554</v>
      </c>
      <c r="E156" s="60" t="str">
        <f>tbl_performance[[#This Row],[employee_id]]&amp;"-"&amp;TEXT(tbl_performance[[#This Row],[month]],"mm")</f>
        <v>EMP1014-01</v>
      </c>
      <c r="F156" s="60">
        <f>COUNTIF(tbl_performance[employee_month_key],tbl_performance[[#This Row],[employee_month_key]])</f>
        <v>1</v>
      </c>
      <c r="G156" s="61">
        <f>tbl_performance[[#This Row],[achieved]]/tbl_performance[[#This Row],[target]]</f>
        <v>0.68437262094262574</v>
      </c>
      <c r="H156" s="60" t="str" cm="1">
        <f t="array" ref="H156">_xlfn.IFS(tbl_performance[[#This Row],[performance_pct]]&gt;=1.1,"Excellent",tbl_performance[[#This Row],[performance_pct]]&gt;=1,"Good",tbl_performance[[#This Row],[performance_pct]]&gt;=0.85,"Average",TRUE,"Poor")</f>
        <v>Poor</v>
      </c>
    </row>
    <row r="157" spans="1:8" ht="19.8" x14ac:dyDescent="0.65">
      <c r="A157" s="58" t="s">
        <v>51</v>
      </c>
      <c r="B157" s="59">
        <v>45689</v>
      </c>
      <c r="C157" s="60">
        <v>53750</v>
      </c>
      <c r="D157" s="60">
        <v>40928</v>
      </c>
      <c r="E157" s="60" t="str">
        <f>tbl_performance[[#This Row],[employee_id]]&amp;"-"&amp;TEXT(tbl_performance[[#This Row],[month]],"mm")</f>
        <v>EMP1014-02</v>
      </c>
      <c r="F157" s="60">
        <f>COUNTIF(tbl_performance[employee_month_key],tbl_performance[[#This Row],[employee_month_key]])</f>
        <v>1</v>
      </c>
      <c r="G157" s="61">
        <f>tbl_performance[[#This Row],[achieved]]/tbl_performance[[#This Row],[target]]</f>
        <v>0.76145116279069769</v>
      </c>
      <c r="H157" s="60" t="str" cm="1">
        <f t="array" ref="H157">_xlfn.IFS(tbl_performance[[#This Row],[performance_pct]]&gt;=1.1,"Excellent",tbl_performance[[#This Row],[performance_pct]]&gt;=1,"Good",tbl_performance[[#This Row],[performance_pct]]&gt;=0.85,"Average",TRUE,"Poor")</f>
        <v>Poor</v>
      </c>
    </row>
    <row r="158" spans="1:8" ht="19.8" x14ac:dyDescent="0.65">
      <c r="A158" s="58" t="s">
        <v>51</v>
      </c>
      <c r="B158" s="59">
        <v>45717</v>
      </c>
      <c r="C158" s="60">
        <v>58952</v>
      </c>
      <c r="D158" s="60">
        <v>54384</v>
      </c>
      <c r="E158" s="60" t="str">
        <f>tbl_performance[[#This Row],[employee_id]]&amp;"-"&amp;TEXT(tbl_performance[[#This Row],[month]],"mm")</f>
        <v>EMP1014-03</v>
      </c>
      <c r="F158" s="60">
        <f>COUNTIF(tbl_performance[employee_month_key],tbl_performance[[#This Row],[employee_month_key]])</f>
        <v>1</v>
      </c>
      <c r="G158" s="61">
        <f>tbl_performance[[#This Row],[achieved]]/tbl_performance[[#This Row],[target]]</f>
        <v>0.92251323110327044</v>
      </c>
      <c r="H158" s="60" t="str" cm="1">
        <f t="array" ref="H15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59" spans="1:8" ht="19.8" x14ac:dyDescent="0.65">
      <c r="A159" s="58" t="s">
        <v>51</v>
      </c>
      <c r="B159" s="59">
        <v>45748</v>
      </c>
      <c r="C159" s="60">
        <v>57796</v>
      </c>
      <c r="D159" s="60">
        <v>36689</v>
      </c>
      <c r="E159" s="60" t="str">
        <f>tbl_performance[[#This Row],[employee_id]]&amp;"-"&amp;TEXT(tbl_performance[[#This Row],[month]],"mm")</f>
        <v>EMP1014-04</v>
      </c>
      <c r="F159" s="60">
        <f>COUNTIF(tbl_performance[employee_month_key],tbl_performance[[#This Row],[employee_month_key]])</f>
        <v>1</v>
      </c>
      <c r="G159" s="61">
        <f>tbl_performance[[#This Row],[achieved]]/tbl_performance[[#This Row],[target]]</f>
        <v>0.63480171638175653</v>
      </c>
      <c r="H159" s="60" t="str" cm="1">
        <f t="array" ref="H159">_xlfn.IFS(tbl_performance[[#This Row],[performance_pct]]&gt;=1.1,"Excellent",tbl_performance[[#This Row],[performance_pct]]&gt;=1,"Good",tbl_performance[[#This Row],[performance_pct]]&gt;=0.85,"Average",TRUE,"Poor")</f>
        <v>Poor</v>
      </c>
    </row>
    <row r="160" spans="1:8" ht="19.8" x14ac:dyDescent="0.65">
      <c r="A160" s="58" t="s">
        <v>51</v>
      </c>
      <c r="B160" s="59">
        <v>45778</v>
      </c>
      <c r="C160" s="60">
        <v>57796</v>
      </c>
      <c r="D160" s="60">
        <v>51710</v>
      </c>
      <c r="E160" s="60" t="str">
        <f>tbl_performance[[#This Row],[employee_id]]&amp;"-"&amp;TEXT(tbl_performance[[#This Row],[month]],"mm")</f>
        <v>EMP1014-05</v>
      </c>
      <c r="F160" s="60">
        <f>COUNTIF(tbl_performance[employee_month_key],tbl_performance[[#This Row],[employee_month_key]])</f>
        <v>1</v>
      </c>
      <c r="G160" s="61">
        <f>tbl_performance[[#This Row],[achieved]]/tbl_performance[[#This Row],[target]]</f>
        <v>0.89469859505848159</v>
      </c>
      <c r="H160" s="60" t="str" cm="1">
        <f t="array" ref="H16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61" spans="1:8" ht="19.8" x14ac:dyDescent="0.65">
      <c r="A161" s="58" t="s">
        <v>51</v>
      </c>
      <c r="B161" s="59">
        <v>45809</v>
      </c>
      <c r="C161" s="60">
        <v>56640</v>
      </c>
      <c r="D161" s="60">
        <v>44146</v>
      </c>
      <c r="E161" s="60" t="str">
        <f>tbl_performance[[#This Row],[employee_id]]&amp;"-"&amp;TEXT(tbl_performance[[#This Row],[month]],"mm")</f>
        <v>EMP1014-06</v>
      </c>
      <c r="F161" s="60">
        <f>COUNTIF(tbl_performance[employee_month_key],tbl_performance[[#This Row],[employee_month_key]])</f>
        <v>1</v>
      </c>
      <c r="G161" s="61">
        <f>tbl_performance[[#This Row],[achieved]]/tbl_performance[[#This Row],[target]]</f>
        <v>0.77941384180790962</v>
      </c>
      <c r="H161" s="60" t="str" cm="1">
        <f t="array" ref="H161">_xlfn.IFS(tbl_performance[[#This Row],[performance_pct]]&gt;=1.1,"Excellent",tbl_performance[[#This Row],[performance_pct]]&gt;=1,"Good",tbl_performance[[#This Row],[performance_pct]]&gt;=0.85,"Average",TRUE,"Poor")</f>
        <v>Poor</v>
      </c>
    </row>
    <row r="162" spans="1:8" ht="19.8" x14ac:dyDescent="0.65">
      <c r="A162" s="58" t="s">
        <v>51</v>
      </c>
      <c r="B162" s="59">
        <v>45839</v>
      </c>
      <c r="C162" s="60">
        <v>57796</v>
      </c>
      <c r="D162" s="60">
        <v>39315</v>
      </c>
      <c r="E162" s="60" t="str">
        <f>tbl_performance[[#This Row],[employee_id]]&amp;"-"&amp;TEXT(tbl_performance[[#This Row],[month]],"mm")</f>
        <v>EMP1014-07</v>
      </c>
      <c r="F162" s="60">
        <f>COUNTIF(tbl_performance[employee_month_key],tbl_performance[[#This Row],[employee_month_key]])</f>
        <v>1</v>
      </c>
      <c r="G162" s="61">
        <f>tbl_performance[[#This Row],[achieved]]/tbl_performance[[#This Row],[target]]</f>
        <v>0.68023738667035782</v>
      </c>
      <c r="H162" s="60" t="str" cm="1">
        <f t="array" ref="H162">_xlfn.IFS(tbl_performance[[#This Row],[performance_pct]]&gt;=1.1,"Excellent",tbl_performance[[#This Row],[performance_pct]]&gt;=1,"Good",tbl_performance[[#This Row],[performance_pct]]&gt;=0.85,"Average",TRUE,"Poor")</f>
        <v>Poor</v>
      </c>
    </row>
    <row r="163" spans="1:8" ht="19.8" x14ac:dyDescent="0.65">
      <c r="A163" s="58" t="s">
        <v>51</v>
      </c>
      <c r="B163" s="59">
        <v>45870</v>
      </c>
      <c r="C163" s="60">
        <v>56062</v>
      </c>
      <c r="D163" s="60">
        <v>46228</v>
      </c>
      <c r="E163" s="60" t="str">
        <f>tbl_performance[[#This Row],[employee_id]]&amp;"-"&amp;TEXT(tbl_performance[[#This Row],[month]],"mm")</f>
        <v>EMP1014-08</v>
      </c>
      <c r="F163" s="60">
        <f>COUNTIF(tbl_performance[employee_month_key],tbl_performance[[#This Row],[employee_month_key]])</f>
        <v>1</v>
      </c>
      <c r="G163" s="61">
        <f>tbl_performance[[#This Row],[achieved]]/tbl_performance[[#This Row],[target]]</f>
        <v>0.82458706432164386</v>
      </c>
      <c r="H163" s="60" t="str" cm="1">
        <f t="array" ref="H163">_xlfn.IFS(tbl_performance[[#This Row],[performance_pct]]&gt;=1.1,"Excellent",tbl_performance[[#This Row],[performance_pct]]&gt;=1,"Good",tbl_performance[[#This Row],[performance_pct]]&gt;=0.85,"Average",TRUE,"Poor")</f>
        <v>Poor</v>
      </c>
    </row>
    <row r="164" spans="1:8" ht="19.8" x14ac:dyDescent="0.65">
      <c r="A164" s="58" t="s">
        <v>51</v>
      </c>
      <c r="B164" s="59">
        <v>45901</v>
      </c>
      <c r="C164" s="60">
        <v>57796</v>
      </c>
      <c r="D164" s="60">
        <v>46138</v>
      </c>
      <c r="E164" s="60" t="str">
        <f>tbl_performance[[#This Row],[employee_id]]&amp;"-"&amp;TEXT(tbl_performance[[#This Row],[month]],"mm")</f>
        <v>EMP1014-09</v>
      </c>
      <c r="F164" s="60">
        <f>COUNTIF(tbl_performance[employee_month_key],tbl_performance[[#This Row],[employee_month_key]])</f>
        <v>1</v>
      </c>
      <c r="G164" s="61">
        <f>tbl_performance[[#This Row],[achieved]]/tbl_performance[[#This Row],[target]]</f>
        <v>0.79829053913765657</v>
      </c>
      <c r="H164" s="60" t="str" cm="1">
        <f t="array" ref="H164">_xlfn.IFS(tbl_performance[[#This Row],[performance_pct]]&gt;=1.1,"Excellent",tbl_performance[[#This Row],[performance_pct]]&gt;=1,"Good",tbl_performance[[#This Row],[performance_pct]]&gt;=0.85,"Average",TRUE,"Poor")</f>
        <v>Poor</v>
      </c>
    </row>
    <row r="165" spans="1:8" ht="19.8" x14ac:dyDescent="0.65">
      <c r="A165" s="58" t="s">
        <v>51</v>
      </c>
      <c r="B165" s="59">
        <v>45931</v>
      </c>
      <c r="C165" s="60">
        <v>58952</v>
      </c>
      <c r="D165" s="60">
        <v>42349</v>
      </c>
      <c r="E165" s="60" t="str">
        <f>tbl_performance[[#This Row],[employee_id]]&amp;"-"&amp;TEXT(tbl_performance[[#This Row],[month]],"mm")</f>
        <v>EMP1014-10</v>
      </c>
      <c r="F165" s="60">
        <f>COUNTIF(tbl_performance[employee_month_key],tbl_performance[[#This Row],[employee_month_key]])</f>
        <v>1</v>
      </c>
      <c r="G165" s="61">
        <f>tbl_performance[[#This Row],[achieved]]/tbl_performance[[#This Row],[target]]</f>
        <v>0.71836409282127833</v>
      </c>
      <c r="H165" s="60" t="str" cm="1">
        <f t="array" ref="H165">_xlfn.IFS(tbl_performance[[#This Row],[performance_pct]]&gt;=1.1,"Excellent",tbl_performance[[#This Row],[performance_pct]]&gt;=1,"Good",tbl_performance[[#This Row],[performance_pct]]&gt;=0.85,"Average",TRUE,"Poor")</f>
        <v>Poor</v>
      </c>
    </row>
    <row r="166" spans="1:8" ht="19.8" x14ac:dyDescent="0.65">
      <c r="A166" s="58" t="s">
        <v>51</v>
      </c>
      <c r="B166" s="59">
        <v>45962</v>
      </c>
      <c r="C166" s="60">
        <v>57796</v>
      </c>
      <c r="D166" s="60">
        <v>51170</v>
      </c>
      <c r="E166" s="60" t="str">
        <f>tbl_performance[[#This Row],[employee_id]]&amp;"-"&amp;TEXT(tbl_performance[[#This Row],[month]],"mm")</f>
        <v>EMP1014-11</v>
      </c>
      <c r="F166" s="60">
        <f>COUNTIF(tbl_performance[employee_month_key],tbl_performance[[#This Row],[employee_month_key]])</f>
        <v>1</v>
      </c>
      <c r="G166" s="61">
        <f>tbl_performance[[#This Row],[achieved]]/tbl_performance[[#This Row],[target]]</f>
        <v>0.88535538791611879</v>
      </c>
      <c r="H166" s="60" t="str" cm="1">
        <f t="array" ref="H16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67" spans="1:8" ht="19.8" x14ac:dyDescent="0.65">
      <c r="A167" s="58" t="s">
        <v>51</v>
      </c>
      <c r="B167" s="59">
        <v>45992</v>
      </c>
      <c r="C167" s="60">
        <v>49127</v>
      </c>
      <c r="D167" s="60">
        <v>43224</v>
      </c>
      <c r="E167" s="60" t="str">
        <f>tbl_performance[[#This Row],[employee_id]]&amp;"-"&amp;TEXT(tbl_performance[[#This Row],[month]],"mm")</f>
        <v>EMP1014-12</v>
      </c>
      <c r="F167" s="60">
        <f>COUNTIF(tbl_performance[employee_month_key],tbl_performance[[#This Row],[employee_month_key]])</f>
        <v>1</v>
      </c>
      <c r="G167" s="61">
        <f>tbl_performance[[#This Row],[achieved]]/tbl_performance[[#This Row],[target]]</f>
        <v>0.87984204205426753</v>
      </c>
      <c r="H167" s="60" t="str" cm="1">
        <f t="array" ref="H16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68" spans="1:8" ht="19.8" x14ac:dyDescent="0.65">
      <c r="A168" s="58" t="s">
        <v>53</v>
      </c>
      <c r="B168" s="59">
        <v>45658</v>
      </c>
      <c r="C168" s="60">
        <v>51204</v>
      </c>
      <c r="D168" s="60">
        <v>50171</v>
      </c>
      <c r="E168" s="60" t="str">
        <f>tbl_performance[[#This Row],[employee_id]]&amp;"-"&amp;TEXT(tbl_performance[[#This Row],[month]],"mm")</f>
        <v>EMP1015-01</v>
      </c>
      <c r="F168" s="60">
        <f>COUNTIF(tbl_performance[employee_month_key],tbl_performance[[#This Row],[employee_month_key]])</f>
        <v>1</v>
      </c>
      <c r="G168" s="61">
        <f>tbl_performance[[#This Row],[achieved]]/tbl_performance[[#This Row],[target]]</f>
        <v>0.97982579485977661</v>
      </c>
      <c r="H168" s="60" t="str" cm="1">
        <f t="array" ref="H16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69" spans="1:8" ht="19.8" x14ac:dyDescent="0.65">
      <c r="A169" s="58" t="s">
        <v>53</v>
      </c>
      <c r="B169" s="59">
        <v>45689</v>
      </c>
      <c r="C169" s="60">
        <v>47620</v>
      </c>
      <c r="D169" s="60">
        <v>52012</v>
      </c>
      <c r="E169" s="60" t="str">
        <f>tbl_performance[[#This Row],[employee_id]]&amp;"-"&amp;TEXT(tbl_performance[[#This Row],[month]],"mm")</f>
        <v>EMP1015-02</v>
      </c>
      <c r="F169" s="60">
        <f>COUNTIF(tbl_performance[employee_month_key],tbl_performance[[#This Row],[employee_month_key]])</f>
        <v>1</v>
      </c>
      <c r="G169" s="61">
        <f>tbl_performance[[#This Row],[achieved]]/tbl_performance[[#This Row],[target]]</f>
        <v>1.0922301553968921</v>
      </c>
      <c r="H169" s="60" t="str" cm="1">
        <f t="array" ref="H169">_xlfn.IFS(tbl_performance[[#This Row],[performance_pct]]&gt;=1.1,"Excellent",tbl_performance[[#This Row],[performance_pct]]&gt;=1,"Good",tbl_performance[[#This Row],[performance_pct]]&gt;=0.85,"Average",TRUE,"Poor")</f>
        <v>Good</v>
      </c>
    </row>
    <row r="170" spans="1:8" ht="19.8" x14ac:dyDescent="0.65">
      <c r="A170" s="58" t="s">
        <v>53</v>
      </c>
      <c r="B170" s="59">
        <v>45717</v>
      </c>
      <c r="C170" s="60">
        <v>52228</v>
      </c>
      <c r="D170" s="60">
        <v>43863</v>
      </c>
      <c r="E170" s="60" t="str">
        <f>tbl_performance[[#This Row],[employee_id]]&amp;"-"&amp;TEXT(tbl_performance[[#This Row],[month]],"mm")</f>
        <v>EMP1015-03</v>
      </c>
      <c r="F170" s="60">
        <f>COUNTIF(tbl_performance[employee_month_key],tbl_performance[[#This Row],[employee_month_key]])</f>
        <v>1</v>
      </c>
      <c r="G170" s="61">
        <f>tbl_performance[[#This Row],[achieved]]/tbl_performance[[#This Row],[target]]</f>
        <v>0.83983686911235356</v>
      </c>
      <c r="H170" s="60" t="str" cm="1">
        <f t="array" ref="H170">_xlfn.IFS(tbl_performance[[#This Row],[performance_pct]]&gt;=1.1,"Excellent",tbl_performance[[#This Row],[performance_pct]]&gt;=1,"Good",tbl_performance[[#This Row],[performance_pct]]&gt;=0.85,"Average",TRUE,"Poor")</f>
        <v>Poor</v>
      </c>
    </row>
    <row r="171" spans="1:8" ht="19.8" x14ac:dyDescent="0.65">
      <c r="A171" s="58" t="s">
        <v>53</v>
      </c>
      <c r="B171" s="59">
        <v>45748</v>
      </c>
      <c r="C171" s="60">
        <v>51204</v>
      </c>
      <c r="D171" s="60">
        <v>60263</v>
      </c>
      <c r="E171" s="60" t="str">
        <f>tbl_performance[[#This Row],[employee_id]]&amp;"-"&amp;TEXT(tbl_performance[[#This Row],[month]],"mm")</f>
        <v>EMP1015-04</v>
      </c>
      <c r="F171" s="60">
        <f>COUNTIF(tbl_performance[employee_month_key],tbl_performance[[#This Row],[employee_month_key]])</f>
        <v>1</v>
      </c>
      <c r="G171" s="61">
        <f>tbl_performance[[#This Row],[achieved]]/tbl_performance[[#This Row],[target]]</f>
        <v>1.1769197718928208</v>
      </c>
      <c r="H171" s="60" t="str" cm="1">
        <f t="array" ref="H17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72" spans="1:8" ht="19.8" x14ac:dyDescent="0.65">
      <c r="A172" s="58" t="s">
        <v>53</v>
      </c>
      <c r="B172" s="59">
        <v>45778</v>
      </c>
      <c r="C172" s="60">
        <v>51204</v>
      </c>
      <c r="D172" s="60">
        <v>39346</v>
      </c>
      <c r="E172" s="60" t="str">
        <f>tbl_performance[[#This Row],[employee_id]]&amp;"-"&amp;TEXT(tbl_performance[[#This Row],[month]],"mm")</f>
        <v>EMP1015-05</v>
      </c>
      <c r="F172" s="60">
        <f>COUNTIF(tbl_performance[employee_month_key],tbl_performance[[#This Row],[employee_month_key]])</f>
        <v>1</v>
      </c>
      <c r="G172" s="61">
        <f>tbl_performance[[#This Row],[achieved]]/tbl_performance[[#This Row],[target]]</f>
        <v>0.76841652995859699</v>
      </c>
      <c r="H172" s="60" t="str" cm="1">
        <f t="array" ref="H172">_xlfn.IFS(tbl_performance[[#This Row],[performance_pct]]&gt;=1.1,"Excellent",tbl_performance[[#This Row],[performance_pct]]&gt;=1,"Good",tbl_performance[[#This Row],[performance_pct]]&gt;=0.85,"Average",TRUE,"Poor")</f>
        <v>Poor</v>
      </c>
    </row>
    <row r="173" spans="1:8" ht="19.8" x14ac:dyDescent="0.65">
      <c r="A173" s="58" t="s">
        <v>53</v>
      </c>
      <c r="B173" s="59">
        <v>45809</v>
      </c>
      <c r="C173" s="60">
        <v>50180</v>
      </c>
      <c r="D173" s="60">
        <v>47593</v>
      </c>
      <c r="E173" s="60" t="str">
        <f>tbl_performance[[#This Row],[employee_id]]&amp;"-"&amp;TEXT(tbl_performance[[#This Row],[month]],"mm")</f>
        <v>EMP1015-06</v>
      </c>
      <c r="F173" s="60">
        <f>COUNTIF(tbl_performance[employee_month_key],tbl_performance[[#This Row],[employee_month_key]])</f>
        <v>1</v>
      </c>
      <c r="G173" s="61">
        <f>tbl_performance[[#This Row],[achieved]]/tbl_performance[[#This Row],[target]]</f>
        <v>0.94844559585492227</v>
      </c>
      <c r="H173" s="60" t="str" cm="1">
        <f t="array" ref="H17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74" spans="1:8" ht="19.8" x14ac:dyDescent="0.65">
      <c r="A174" s="58" t="s">
        <v>53</v>
      </c>
      <c r="B174" s="59">
        <v>45839</v>
      </c>
      <c r="C174" s="60">
        <v>51204</v>
      </c>
      <c r="D174" s="60">
        <v>52354</v>
      </c>
      <c r="E174" s="60" t="str">
        <f>tbl_performance[[#This Row],[employee_id]]&amp;"-"&amp;TEXT(tbl_performance[[#This Row],[month]],"mm")</f>
        <v>EMP1015-07</v>
      </c>
      <c r="F174" s="60">
        <f>COUNTIF(tbl_performance[employee_month_key],tbl_performance[[#This Row],[employee_month_key]])</f>
        <v>1</v>
      </c>
      <c r="G174" s="61">
        <f>tbl_performance[[#This Row],[achieved]]/tbl_performance[[#This Row],[target]]</f>
        <v>1.0224591828763379</v>
      </c>
      <c r="H174" s="60" t="str" cm="1">
        <f t="array" ref="H174">_xlfn.IFS(tbl_performance[[#This Row],[performance_pct]]&gt;=1.1,"Excellent",tbl_performance[[#This Row],[performance_pct]]&gt;=1,"Good",tbl_performance[[#This Row],[performance_pct]]&gt;=0.85,"Average",TRUE,"Poor")</f>
        <v>Good</v>
      </c>
    </row>
    <row r="175" spans="1:8" ht="19.8" x14ac:dyDescent="0.65">
      <c r="A175" s="58" t="s">
        <v>53</v>
      </c>
      <c r="B175" s="59">
        <v>45870</v>
      </c>
      <c r="C175" s="60">
        <v>49668</v>
      </c>
      <c r="D175" s="60">
        <v>49257</v>
      </c>
      <c r="E175" s="60" t="str">
        <f>tbl_performance[[#This Row],[employee_id]]&amp;"-"&amp;TEXT(tbl_performance[[#This Row],[month]],"mm")</f>
        <v>EMP1015-08</v>
      </c>
      <c r="F175" s="60">
        <f>COUNTIF(tbl_performance[employee_month_key],tbl_performance[[#This Row],[employee_month_key]])</f>
        <v>1</v>
      </c>
      <c r="G175" s="61">
        <f>tbl_performance[[#This Row],[achieved]]/tbl_performance[[#This Row],[target]]</f>
        <v>0.9917250543609567</v>
      </c>
      <c r="H175" s="60" t="str" cm="1">
        <f t="array" ref="H17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76" spans="1:8" ht="19.8" x14ac:dyDescent="0.65">
      <c r="A176" s="58" t="s">
        <v>53</v>
      </c>
      <c r="B176" s="59">
        <v>45901</v>
      </c>
      <c r="C176" s="60">
        <v>51204</v>
      </c>
      <c r="D176" s="60">
        <v>46153</v>
      </c>
      <c r="E176" s="60" t="str">
        <f>tbl_performance[[#This Row],[employee_id]]&amp;"-"&amp;TEXT(tbl_performance[[#This Row],[month]],"mm")</f>
        <v>EMP1015-09</v>
      </c>
      <c r="F176" s="60">
        <f>COUNTIF(tbl_performance[employee_month_key],tbl_performance[[#This Row],[employee_month_key]])</f>
        <v>1</v>
      </c>
      <c r="G176" s="61">
        <f>tbl_performance[[#This Row],[achieved]]/tbl_performance[[#This Row],[target]]</f>
        <v>0.90135536286227635</v>
      </c>
      <c r="H176" s="60" t="str" cm="1">
        <f t="array" ref="H17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77" spans="1:8" ht="19.8" x14ac:dyDescent="0.65">
      <c r="A177" s="58" t="s">
        <v>53</v>
      </c>
      <c r="B177" s="59">
        <v>45931</v>
      </c>
      <c r="C177" s="60">
        <v>52228</v>
      </c>
      <c r="D177" s="60">
        <v>49241</v>
      </c>
      <c r="E177" s="60" t="str">
        <f>tbl_performance[[#This Row],[employee_id]]&amp;"-"&amp;TEXT(tbl_performance[[#This Row],[month]],"mm")</f>
        <v>EMP1015-10</v>
      </c>
      <c r="F177" s="60">
        <f>COUNTIF(tbl_performance[employee_month_key],tbl_performance[[#This Row],[employee_month_key]])</f>
        <v>1</v>
      </c>
      <c r="G177" s="61">
        <f>tbl_performance[[#This Row],[achieved]]/tbl_performance[[#This Row],[target]]</f>
        <v>0.94280845523473999</v>
      </c>
      <c r="H177" s="60" t="str" cm="1">
        <f t="array" ref="H17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78" spans="1:8" ht="19.8" x14ac:dyDescent="0.65">
      <c r="A178" s="58" t="s">
        <v>53</v>
      </c>
      <c r="B178" s="59">
        <v>45962</v>
      </c>
      <c r="C178" s="60">
        <v>51204</v>
      </c>
      <c r="D178" s="60">
        <v>51937</v>
      </c>
      <c r="E178" s="60" t="str">
        <f>tbl_performance[[#This Row],[employee_id]]&amp;"-"&amp;TEXT(tbl_performance[[#This Row],[month]],"mm")</f>
        <v>EMP1015-11</v>
      </c>
      <c r="F178" s="60">
        <f>COUNTIF(tbl_performance[employee_month_key],tbl_performance[[#This Row],[employee_month_key]])</f>
        <v>1</v>
      </c>
      <c r="G178" s="61">
        <f>tbl_performance[[#This Row],[achieved]]/tbl_performance[[#This Row],[target]]</f>
        <v>1.0143152878681354</v>
      </c>
      <c r="H178" s="60" t="str" cm="1">
        <f t="array" ref="H178">_xlfn.IFS(tbl_performance[[#This Row],[performance_pct]]&gt;=1.1,"Excellent",tbl_performance[[#This Row],[performance_pct]]&gt;=1,"Good",tbl_performance[[#This Row],[performance_pct]]&gt;=0.85,"Average",TRUE,"Poor")</f>
        <v>Good</v>
      </c>
    </row>
    <row r="179" spans="1:8" ht="19.8" x14ac:dyDescent="0.65">
      <c r="A179" s="58" t="s">
        <v>53</v>
      </c>
      <c r="B179" s="59">
        <v>45992</v>
      </c>
      <c r="C179" s="60">
        <v>43524</v>
      </c>
      <c r="D179" s="60">
        <v>45469</v>
      </c>
      <c r="E179" s="60" t="str">
        <f>tbl_performance[[#This Row],[employee_id]]&amp;"-"&amp;TEXT(tbl_performance[[#This Row],[month]],"mm")</f>
        <v>EMP1015-12</v>
      </c>
      <c r="F179" s="60">
        <f>COUNTIF(tbl_performance[employee_month_key],tbl_performance[[#This Row],[employee_month_key]])</f>
        <v>1</v>
      </c>
      <c r="G179" s="61">
        <f>tbl_performance[[#This Row],[achieved]]/tbl_performance[[#This Row],[target]]</f>
        <v>1.0446879882363753</v>
      </c>
      <c r="H179" s="60" t="str" cm="1">
        <f t="array" ref="H179">_xlfn.IFS(tbl_performance[[#This Row],[performance_pct]]&gt;=1.1,"Excellent",tbl_performance[[#This Row],[performance_pct]]&gt;=1,"Good",tbl_performance[[#This Row],[performance_pct]]&gt;=0.85,"Average",TRUE,"Poor")</f>
        <v>Good</v>
      </c>
    </row>
    <row r="180" spans="1:8" ht="19.8" x14ac:dyDescent="0.65">
      <c r="A180" s="58" t="s">
        <v>55</v>
      </c>
      <c r="B180" s="59">
        <v>45658</v>
      </c>
      <c r="C180" s="60">
        <v>182</v>
      </c>
      <c r="D180" s="60">
        <v>174</v>
      </c>
      <c r="E180" s="60" t="str">
        <f>tbl_performance[[#This Row],[employee_id]]&amp;"-"&amp;TEXT(tbl_performance[[#This Row],[month]],"mm")</f>
        <v>EMP1016-01</v>
      </c>
      <c r="F180" s="60">
        <f>COUNTIF(tbl_performance[employee_month_key],tbl_performance[[#This Row],[employee_month_key]])</f>
        <v>1</v>
      </c>
      <c r="G180" s="61">
        <f>tbl_performance[[#This Row],[achieved]]/tbl_performance[[#This Row],[target]]</f>
        <v>0.95604395604395609</v>
      </c>
      <c r="H180" s="60" t="str" cm="1">
        <f t="array" ref="H18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1" spans="1:8" ht="19.8" x14ac:dyDescent="0.65">
      <c r="A181" s="58" t="s">
        <v>55</v>
      </c>
      <c r="B181" s="59">
        <v>45689</v>
      </c>
      <c r="C181" s="60">
        <v>169</v>
      </c>
      <c r="D181" s="60">
        <v>151</v>
      </c>
      <c r="E181" s="60" t="str">
        <f>tbl_performance[[#This Row],[employee_id]]&amp;"-"&amp;TEXT(tbl_performance[[#This Row],[month]],"mm")</f>
        <v>EMP1016-02</v>
      </c>
      <c r="F181" s="60">
        <f>COUNTIF(tbl_performance[employee_month_key],tbl_performance[[#This Row],[employee_month_key]])</f>
        <v>1</v>
      </c>
      <c r="G181" s="61">
        <f>tbl_performance[[#This Row],[achieved]]/tbl_performance[[#This Row],[target]]</f>
        <v>0.89349112426035504</v>
      </c>
      <c r="H181" s="60" t="str" cm="1">
        <f t="array" ref="H18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2" spans="1:8" ht="19.8" x14ac:dyDescent="0.65">
      <c r="A182" s="58" t="s">
        <v>55</v>
      </c>
      <c r="B182" s="59">
        <v>45717</v>
      </c>
      <c r="C182" s="60">
        <v>185</v>
      </c>
      <c r="D182" s="60">
        <v>183</v>
      </c>
      <c r="E182" s="60" t="str">
        <f>tbl_performance[[#This Row],[employee_id]]&amp;"-"&amp;TEXT(tbl_performance[[#This Row],[month]],"mm")</f>
        <v>EMP1016-03</v>
      </c>
      <c r="F182" s="60">
        <f>COUNTIF(tbl_performance[employee_month_key],tbl_performance[[#This Row],[employee_month_key]])</f>
        <v>1</v>
      </c>
      <c r="G182" s="61">
        <f>tbl_performance[[#This Row],[achieved]]/tbl_performance[[#This Row],[target]]</f>
        <v>0.98918918918918919</v>
      </c>
      <c r="H182" s="60" t="str" cm="1">
        <f t="array" ref="H18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3" spans="1:8" ht="19.8" x14ac:dyDescent="0.65">
      <c r="A183" s="58" t="s">
        <v>55</v>
      </c>
      <c r="B183" s="59">
        <v>45748</v>
      </c>
      <c r="C183" s="60">
        <v>182</v>
      </c>
      <c r="D183" s="60">
        <v>174</v>
      </c>
      <c r="E183" s="60" t="str">
        <f>tbl_performance[[#This Row],[employee_id]]&amp;"-"&amp;TEXT(tbl_performance[[#This Row],[month]],"mm")</f>
        <v>EMP1016-04</v>
      </c>
      <c r="F183" s="60">
        <f>COUNTIF(tbl_performance[employee_month_key],tbl_performance[[#This Row],[employee_month_key]])</f>
        <v>1</v>
      </c>
      <c r="G183" s="61">
        <f>tbl_performance[[#This Row],[achieved]]/tbl_performance[[#This Row],[target]]</f>
        <v>0.95604395604395609</v>
      </c>
      <c r="H183" s="60" t="str" cm="1">
        <f t="array" ref="H18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4" spans="1:8" ht="19.8" x14ac:dyDescent="0.65">
      <c r="A184" s="58" t="s">
        <v>55</v>
      </c>
      <c r="B184" s="59">
        <v>45778</v>
      </c>
      <c r="C184" s="60">
        <v>182</v>
      </c>
      <c r="D184" s="60">
        <v>179</v>
      </c>
      <c r="E184" s="60" t="str">
        <f>tbl_performance[[#This Row],[employee_id]]&amp;"-"&amp;TEXT(tbl_performance[[#This Row],[month]],"mm")</f>
        <v>EMP1016-05</v>
      </c>
      <c r="F184" s="60">
        <f>COUNTIF(tbl_performance[employee_month_key],tbl_performance[[#This Row],[employee_month_key]])</f>
        <v>1</v>
      </c>
      <c r="G184" s="61">
        <f>tbl_performance[[#This Row],[achieved]]/tbl_performance[[#This Row],[target]]</f>
        <v>0.98351648351648346</v>
      </c>
      <c r="H184" s="60" t="str" cm="1">
        <f t="array" ref="H18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5" spans="1:8" ht="19.8" x14ac:dyDescent="0.65">
      <c r="A185" s="58" t="s">
        <v>55</v>
      </c>
      <c r="B185" s="59">
        <v>45809</v>
      </c>
      <c r="C185" s="60">
        <v>178</v>
      </c>
      <c r="D185" s="60">
        <v>174</v>
      </c>
      <c r="E185" s="60" t="str">
        <f>tbl_performance[[#This Row],[employee_id]]&amp;"-"&amp;TEXT(tbl_performance[[#This Row],[month]],"mm")</f>
        <v>EMP1016-06</v>
      </c>
      <c r="F185" s="60">
        <f>COUNTIF(tbl_performance[employee_month_key],tbl_performance[[#This Row],[employee_month_key]])</f>
        <v>1</v>
      </c>
      <c r="G185" s="61">
        <f>tbl_performance[[#This Row],[achieved]]/tbl_performance[[#This Row],[target]]</f>
        <v>0.97752808988764039</v>
      </c>
      <c r="H185" s="60" t="str" cm="1">
        <f t="array" ref="H18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6" spans="1:8" ht="19.8" x14ac:dyDescent="0.65">
      <c r="A186" s="58" t="s">
        <v>55</v>
      </c>
      <c r="B186" s="59">
        <v>45839</v>
      </c>
      <c r="C186" s="60">
        <v>182</v>
      </c>
      <c r="D186" s="60">
        <v>144</v>
      </c>
      <c r="E186" s="60" t="str">
        <f>tbl_performance[[#This Row],[employee_id]]&amp;"-"&amp;TEXT(tbl_performance[[#This Row],[month]],"mm")</f>
        <v>EMP1016-07</v>
      </c>
      <c r="F186" s="60">
        <f>COUNTIF(tbl_performance[employee_month_key],tbl_performance[[#This Row],[employee_month_key]])</f>
        <v>1</v>
      </c>
      <c r="G186" s="61">
        <f>tbl_performance[[#This Row],[achieved]]/tbl_performance[[#This Row],[target]]</f>
        <v>0.79120879120879117</v>
      </c>
      <c r="H186" s="60" t="str" cm="1">
        <f t="array" ref="H186">_xlfn.IFS(tbl_performance[[#This Row],[performance_pct]]&gt;=1.1,"Excellent",tbl_performance[[#This Row],[performance_pct]]&gt;=1,"Good",tbl_performance[[#This Row],[performance_pct]]&gt;=0.85,"Average",TRUE,"Poor")</f>
        <v>Poor</v>
      </c>
    </row>
    <row r="187" spans="1:8" ht="19.8" x14ac:dyDescent="0.65">
      <c r="A187" s="58" t="s">
        <v>55</v>
      </c>
      <c r="B187" s="59">
        <v>45870</v>
      </c>
      <c r="C187" s="60">
        <v>176</v>
      </c>
      <c r="D187" s="60">
        <v>146</v>
      </c>
      <c r="E187" s="60" t="str">
        <f>tbl_performance[[#This Row],[employee_id]]&amp;"-"&amp;TEXT(tbl_performance[[#This Row],[month]],"mm")</f>
        <v>EMP1016-08</v>
      </c>
      <c r="F187" s="60">
        <f>COUNTIF(tbl_performance[employee_month_key],tbl_performance[[#This Row],[employee_month_key]])</f>
        <v>1</v>
      </c>
      <c r="G187" s="61">
        <f>tbl_performance[[#This Row],[achieved]]/tbl_performance[[#This Row],[target]]</f>
        <v>0.82954545454545459</v>
      </c>
      <c r="H187" s="60" t="str" cm="1">
        <f t="array" ref="H187">_xlfn.IFS(tbl_performance[[#This Row],[performance_pct]]&gt;=1.1,"Excellent",tbl_performance[[#This Row],[performance_pct]]&gt;=1,"Good",tbl_performance[[#This Row],[performance_pct]]&gt;=0.85,"Average",TRUE,"Poor")</f>
        <v>Poor</v>
      </c>
    </row>
    <row r="188" spans="1:8" ht="19.8" x14ac:dyDescent="0.65">
      <c r="A188" s="58" t="s">
        <v>55</v>
      </c>
      <c r="B188" s="59">
        <v>45901</v>
      </c>
      <c r="C188" s="60">
        <v>182</v>
      </c>
      <c r="D188" s="60">
        <v>180</v>
      </c>
      <c r="E188" s="60" t="str">
        <f>tbl_performance[[#This Row],[employee_id]]&amp;"-"&amp;TEXT(tbl_performance[[#This Row],[month]],"mm")</f>
        <v>EMP1016-09</v>
      </c>
      <c r="F188" s="60">
        <f>COUNTIF(tbl_performance[employee_month_key],tbl_performance[[#This Row],[employee_month_key]])</f>
        <v>1</v>
      </c>
      <c r="G188" s="61">
        <f>tbl_performance[[#This Row],[achieved]]/tbl_performance[[#This Row],[target]]</f>
        <v>0.98901098901098905</v>
      </c>
      <c r="H188" s="60" t="str" cm="1">
        <f t="array" ref="H1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89" spans="1:8" ht="19.8" x14ac:dyDescent="0.65">
      <c r="A189" s="58" t="s">
        <v>55</v>
      </c>
      <c r="B189" s="59">
        <v>45931</v>
      </c>
      <c r="C189" s="60">
        <v>185</v>
      </c>
      <c r="D189" s="60">
        <v>181</v>
      </c>
      <c r="E189" s="60" t="str">
        <f>tbl_performance[[#This Row],[employee_id]]&amp;"-"&amp;TEXT(tbl_performance[[#This Row],[month]],"mm")</f>
        <v>EMP1016-10</v>
      </c>
      <c r="F189" s="60">
        <f>COUNTIF(tbl_performance[employee_month_key],tbl_performance[[#This Row],[employee_month_key]])</f>
        <v>1</v>
      </c>
      <c r="G189" s="61">
        <f>tbl_performance[[#This Row],[achieved]]/tbl_performance[[#This Row],[target]]</f>
        <v>0.97837837837837838</v>
      </c>
      <c r="H189" s="60" t="str" cm="1">
        <f t="array" ref="H1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90" spans="1:8" ht="19.8" x14ac:dyDescent="0.65">
      <c r="A190" s="58" t="s">
        <v>55</v>
      </c>
      <c r="B190" s="59">
        <v>45962</v>
      </c>
      <c r="C190" s="60">
        <v>182</v>
      </c>
      <c r="D190" s="60">
        <v>181</v>
      </c>
      <c r="E190" s="60" t="str">
        <f>tbl_performance[[#This Row],[employee_id]]&amp;"-"&amp;TEXT(tbl_performance[[#This Row],[month]],"mm")</f>
        <v>EMP1016-11</v>
      </c>
      <c r="F190" s="60">
        <f>COUNTIF(tbl_performance[employee_month_key],tbl_performance[[#This Row],[employee_month_key]])</f>
        <v>1</v>
      </c>
      <c r="G190" s="61">
        <f>tbl_performance[[#This Row],[achieved]]/tbl_performance[[#This Row],[target]]</f>
        <v>0.99450549450549453</v>
      </c>
      <c r="H190" s="60" t="str" cm="1">
        <f t="array" ref="H19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91" spans="1:8" ht="19.8" x14ac:dyDescent="0.65">
      <c r="A191" s="58" t="s">
        <v>55</v>
      </c>
      <c r="B191" s="59">
        <v>45992</v>
      </c>
      <c r="C191" s="60">
        <v>154</v>
      </c>
      <c r="D191" s="60">
        <v>153</v>
      </c>
      <c r="E191" s="60" t="str">
        <f>tbl_performance[[#This Row],[employee_id]]&amp;"-"&amp;TEXT(tbl_performance[[#This Row],[month]],"mm")</f>
        <v>EMP1016-12</v>
      </c>
      <c r="F191" s="60">
        <f>COUNTIF(tbl_performance[employee_month_key],tbl_performance[[#This Row],[employee_month_key]])</f>
        <v>1</v>
      </c>
      <c r="G191" s="61">
        <f>tbl_performance[[#This Row],[achieved]]/tbl_performance[[#This Row],[target]]</f>
        <v>0.99350649350649356</v>
      </c>
      <c r="H191" s="60" t="str" cm="1">
        <f t="array" ref="H19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92" spans="1:8" ht="19.8" x14ac:dyDescent="0.65">
      <c r="A192" s="58" t="s">
        <v>58</v>
      </c>
      <c r="B192" s="59">
        <v>45658</v>
      </c>
      <c r="C192" s="60">
        <v>18</v>
      </c>
      <c r="D192" s="60">
        <v>18</v>
      </c>
      <c r="E192" s="60" t="str">
        <f>tbl_performance[[#This Row],[employee_id]]&amp;"-"&amp;TEXT(tbl_performance[[#This Row],[month]],"mm")</f>
        <v>EMP1017-01</v>
      </c>
      <c r="F192" s="60">
        <f>COUNTIF(tbl_performance[employee_month_key],tbl_performance[[#This Row],[employee_month_key]])</f>
        <v>1</v>
      </c>
      <c r="G192" s="61">
        <f>tbl_performance[[#This Row],[achieved]]/tbl_performance[[#This Row],[target]]</f>
        <v>1</v>
      </c>
      <c r="H192" s="60" t="str" cm="1">
        <f t="array" ref="H192">_xlfn.IFS(tbl_performance[[#This Row],[performance_pct]]&gt;=1.1,"Excellent",tbl_performance[[#This Row],[performance_pct]]&gt;=1,"Good",tbl_performance[[#This Row],[performance_pct]]&gt;=0.85,"Average",TRUE,"Poor")</f>
        <v>Good</v>
      </c>
    </row>
    <row r="193" spans="1:8" ht="19.8" x14ac:dyDescent="0.65">
      <c r="A193" s="58" t="s">
        <v>58</v>
      </c>
      <c r="B193" s="59">
        <v>45689</v>
      </c>
      <c r="C193" s="60">
        <v>17</v>
      </c>
      <c r="D193" s="60">
        <v>19</v>
      </c>
      <c r="E193" s="60" t="str">
        <f>tbl_performance[[#This Row],[employee_id]]&amp;"-"&amp;TEXT(tbl_performance[[#This Row],[month]],"mm")</f>
        <v>EMP1017-02</v>
      </c>
      <c r="F193" s="60">
        <f>COUNTIF(tbl_performance[employee_month_key],tbl_performance[[#This Row],[employee_month_key]])</f>
        <v>1</v>
      </c>
      <c r="G193" s="61">
        <f>tbl_performance[[#This Row],[achieved]]/tbl_performance[[#This Row],[target]]</f>
        <v>1.1176470588235294</v>
      </c>
      <c r="H193" s="60" t="str" cm="1">
        <f t="array" ref="H19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94" spans="1:8" ht="19.8" x14ac:dyDescent="0.65">
      <c r="A194" s="58" t="s">
        <v>58</v>
      </c>
      <c r="B194" s="59">
        <v>45717</v>
      </c>
      <c r="C194" s="60">
        <v>18</v>
      </c>
      <c r="D194" s="60">
        <v>19</v>
      </c>
      <c r="E194" s="60" t="str">
        <f>tbl_performance[[#This Row],[employee_id]]&amp;"-"&amp;TEXT(tbl_performance[[#This Row],[month]],"mm")</f>
        <v>EMP1017-03</v>
      </c>
      <c r="F194" s="60">
        <f>COUNTIF(tbl_performance[employee_month_key],tbl_performance[[#This Row],[employee_month_key]])</f>
        <v>1</v>
      </c>
      <c r="G194" s="61">
        <f>tbl_performance[[#This Row],[achieved]]/tbl_performance[[#This Row],[target]]</f>
        <v>1.0555555555555556</v>
      </c>
      <c r="H194" s="60" t="str" cm="1">
        <f t="array" ref="H194">_xlfn.IFS(tbl_performance[[#This Row],[performance_pct]]&gt;=1.1,"Excellent",tbl_performance[[#This Row],[performance_pct]]&gt;=1,"Good",tbl_performance[[#This Row],[performance_pct]]&gt;=0.85,"Average",TRUE,"Poor")</f>
        <v>Good</v>
      </c>
    </row>
    <row r="195" spans="1:8" ht="19.8" x14ac:dyDescent="0.65">
      <c r="A195" s="58" t="s">
        <v>58</v>
      </c>
      <c r="B195" s="59">
        <v>45748</v>
      </c>
      <c r="C195" s="60">
        <v>18</v>
      </c>
      <c r="D195" s="60">
        <v>19</v>
      </c>
      <c r="E195" s="60" t="str">
        <f>tbl_performance[[#This Row],[employee_id]]&amp;"-"&amp;TEXT(tbl_performance[[#This Row],[month]],"mm")</f>
        <v>EMP1017-04</v>
      </c>
      <c r="F195" s="60">
        <f>COUNTIF(tbl_performance[employee_month_key],tbl_performance[[#This Row],[employee_month_key]])</f>
        <v>1</v>
      </c>
      <c r="G195" s="61">
        <f>tbl_performance[[#This Row],[achieved]]/tbl_performance[[#This Row],[target]]</f>
        <v>1.0555555555555556</v>
      </c>
      <c r="H195" s="60" t="str" cm="1">
        <f t="array" ref="H195">_xlfn.IFS(tbl_performance[[#This Row],[performance_pct]]&gt;=1.1,"Excellent",tbl_performance[[#This Row],[performance_pct]]&gt;=1,"Good",tbl_performance[[#This Row],[performance_pct]]&gt;=0.85,"Average",TRUE,"Poor")</f>
        <v>Good</v>
      </c>
    </row>
    <row r="196" spans="1:8" ht="19.8" x14ac:dyDescent="0.65">
      <c r="A196" s="58" t="s">
        <v>58</v>
      </c>
      <c r="B196" s="59">
        <v>45778</v>
      </c>
      <c r="C196" s="60">
        <v>18</v>
      </c>
      <c r="D196" s="60">
        <v>20</v>
      </c>
      <c r="E196" s="60" t="str">
        <f>tbl_performance[[#This Row],[employee_id]]&amp;"-"&amp;TEXT(tbl_performance[[#This Row],[month]],"mm")</f>
        <v>EMP1017-05</v>
      </c>
      <c r="F196" s="60">
        <f>COUNTIF(tbl_performance[employee_month_key],tbl_performance[[#This Row],[employee_month_key]])</f>
        <v>1</v>
      </c>
      <c r="G196" s="61">
        <f>tbl_performance[[#This Row],[achieved]]/tbl_performance[[#This Row],[target]]</f>
        <v>1.1111111111111112</v>
      </c>
      <c r="H196" s="60" t="str" cm="1">
        <f t="array" ref="H19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97" spans="1:8" ht="19.8" x14ac:dyDescent="0.65">
      <c r="A197" s="58" t="s">
        <v>58</v>
      </c>
      <c r="B197" s="59">
        <v>45809</v>
      </c>
      <c r="C197" s="60">
        <v>18</v>
      </c>
      <c r="D197" s="60">
        <v>20</v>
      </c>
      <c r="E197" s="60" t="str">
        <f>tbl_performance[[#This Row],[employee_id]]&amp;"-"&amp;TEXT(tbl_performance[[#This Row],[month]],"mm")</f>
        <v>EMP1017-06</v>
      </c>
      <c r="F197" s="60">
        <f>COUNTIF(tbl_performance[employee_month_key],tbl_performance[[#This Row],[employee_month_key]])</f>
        <v>1</v>
      </c>
      <c r="G197" s="61">
        <f>tbl_performance[[#This Row],[achieved]]/tbl_performance[[#This Row],[target]]</f>
        <v>1.1111111111111112</v>
      </c>
      <c r="H197" s="60" t="str" cm="1">
        <f t="array" ref="H19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98" spans="1:8" ht="19.8" x14ac:dyDescent="0.65">
      <c r="A198" s="58" t="s">
        <v>58</v>
      </c>
      <c r="B198" s="59">
        <v>45839</v>
      </c>
      <c r="C198" s="60">
        <v>18</v>
      </c>
      <c r="D198" s="60">
        <v>20</v>
      </c>
      <c r="E198" s="60" t="str">
        <f>tbl_performance[[#This Row],[employee_id]]&amp;"-"&amp;TEXT(tbl_performance[[#This Row],[month]],"mm")</f>
        <v>EMP1017-07</v>
      </c>
      <c r="F198" s="60">
        <f>COUNTIF(tbl_performance[employee_month_key],tbl_performance[[#This Row],[employee_month_key]])</f>
        <v>1</v>
      </c>
      <c r="G198" s="61">
        <f>tbl_performance[[#This Row],[achieved]]/tbl_performance[[#This Row],[target]]</f>
        <v>1.1111111111111112</v>
      </c>
      <c r="H198" s="60" t="str" cm="1">
        <f t="array" ref="H19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99" spans="1:8" ht="19.8" x14ac:dyDescent="0.65">
      <c r="A199" s="58" t="s">
        <v>58</v>
      </c>
      <c r="B199" s="59">
        <v>45870</v>
      </c>
      <c r="C199" s="60">
        <v>17</v>
      </c>
      <c r="D199" s="60">
        <v>19</v>
      </c>
      <c r="E199" s="60" t="str">
        <f>tbl_performance[[#This Row],[employee_id]]&amp;"-"&amp;TEXT(tbl_performance[[#This Row],[month]],"mm")</f>
        <v>EMP1017-08</v>
      </c>
      <c r="F199" s="60">
        <f>COUNTIF(tbl_performance[employee_month_key],tbl_performance[[#This Row],[employee_month_key]])</f>
        <v>1</v>
      </c>
      <c r="G199" s="61">
        <f>tbl_performance[[#This Row],[achieved]]/tbl_performance[[#This Row],[target]]</f>
        <v>1.1176470588235294</v>
      </c>
      <c r="H199" s="60" t="str" cm="1">
        <f t="array" ref="H19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00" spans="1:8" ht="19.8" x14ac:dyDescent="0.65">
      <c r="A200" s="58" t="s">
        <v>58</v>
      </c>
      <c r="B200" s="59">
        <v>45901</v>
      </c>
      <c r="C200" s="60">
        <v>18</v>
      </c>
      <c r="D200" s="60">
        <v>19</v>
      </c>
      <c r="E200" s="60" t="str">
        <f>tbl_performance[[#This Row],[employee_id]]&amp;"-"&amp;TEXT(tbl_performance[[#This Row],[month]],"mm")</f>
        <v>EMP1017-09</v>
      </c>
      <c r="F200" s="60">
        <f>COUNTIF(tbl_performance[employee_month_key],tbl_performance[[#This Row],[employee_month_key]])</f>
        <v>1</v>
      </c>
      <c r="G200" s="61">
        <f>tbl_performance[[#This Row],[achieved]]/tbl_performance[[#This Row],[target]]</f>
        <v>1.0555555555555556</v>
      </c>
      <c r="H200" s="60" t="str" cm="1">
        <f t="array" ref="H200">_xlfn.IFS(tbl_performance[[#This Row],[performance_pct]]&gt;=1.1,"Excellent",tbl_performance[[#This Row],[performance_pct]]&gt;=1,"Good",tbl_performance[[#This Row],[performance_pct]]&gt;=0.85,"Average",TRUE,"Poor")</f>
        <v>Good</v>
      </c>
    </row>
    <row r="201" spans="1:8" ht="19.8" x14ac:dyDescent="0.65">
      <c r="A201" s="58" t="s">
        <v>58</v>
      </c>
      <c r="B201" s="59">
        <v>45931</v>
      </c>
      <c r="C201" s="60">
        <v>18</v>
      </c>
      <c r="D201" s="60">
        <v>20</v>
      </c>
      <c r="E201" s="60" t="str">
        <f>tbl_performance[[#This Row],[employee_id]]&amp;"-"&amp;TEXT(tbl_performance[[#This Row],[month]],"mm")</f>
        <v>EMP1017-10</v>
      </c>
      <c r="F201" s="60">
        <f>COUNTIF(tbl_performance[employee_month_key],tbl_performance[[#This Row],[employee_month_key]])</f>
        <v>1</v>
      </c>
      <c r="G201" s="61">
        <f>tbl_performance[[#This Row],[achieved]]/tbl_performance[[#This Row],[target]]</f>
        <v>1.1111111111111112</v>
      </c>
      <c r="H201" s="60" t="str" cm="1">
        <f t="array" ref="H20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02" spans="1:8" ht="19.8" x14ac:dyDescent="0.65">
      <c r="A202" s="58" t="s">
        <v>58</v>
      </c>
      <c r="B202" s="59">
        <v>45962</v>
      </c>
      <c r="C202" s="60">
        <v>18</v>
      </c>
      <c r="D202" s="60">
        <v>19</v>
      </c>
      <c r="E202" s="60" t="str">
        <f>tbl_performance[[#This Row],[employee_id]]&amp;"-"&amp;TEXT(tbl_performance[[#This Row],[month]],"mm")</f>
        <v>EMP1017-11</v>
      </c>
      <c r="F202" s="60">
        <f>COUNTIF(tbl_performance[employee_month_key],tbl_performance[[#This Row],[employee_month_key]])</f>
        <v>1</v>
      </c>
      <c r="G202" s="61">
        <f>tbl_performance[[#This Row],[achieved]]/tbl_performance[[#This Row],[target]]</f>
        <v>1.0555555555555556</v>
      </c>
      <c r="H202" s="60" t="str" cm="1">
        <f t="array" ref="H202">_xlfn.IFS(tbl_performance[[#This Row],[performance_pct]]&gt;=1.1,"Excellent",tbl_performance[[#This Row],[performance_pct]]&gt;=1,"Good",tbl_performance[[#This Row],[performance_pct]]&gt;=0.85,"Average",TRUE,"Poor")</f>
        <v>Good</v>
      </c>
    </row>
    <row r="203" spans="1:8" ht="19.8" x14ac:dyDescent="0.65">
      <c r="A203" s="58" t="s">
        <v>58</v>
      </c>
      <c r="B203" s="59">
        <v>45992</v>
      </c>
      <c r="C203" s="60">
        <v>15</v>
      </c>
      <c r="D203" s="60">
        <v>16</v>
      </c>
      <c r="E203" s="60" t="str">
        <f>tbl_performance[[#This Row],[employee_id]]&amp;"-"&amp;TEXT(tbl_performance[[#This Row],[month]],"mm")</f>
        <v>EMP1017-12</v>
      </c>
      <c r="F203" s="60">
        <f>COUNTIF(tbl_performance[employee_month_key],tbl_performance[[#This Row],[employee_month_key]])</f>
        <v>1</v>
      </c>
      <c r="G203" s="61">
        <f>tbl_performance[[#This Row],[achieved]]/tbl_performance[[#This Row],[target]]</f>
        <v>1.0666666666666667</v>
      </c>
      <c r="H203" s="60" t="str" cm="1">
        <f t="array" ref="H203">_xlfn.IFS(tbl_performance[[#This Row],[performance_pct]]&gt;=1.1,"Excellent",tbl_performance[[#This Row],[performance_pct]]&gt;=1,"Good",tbl_performance[[#This Row],[performance_pct]]&gt;=0.85,"Average",TRUE,"Poor")</f>
        <v>Good</v>
      </c>
    </row>
    <row r="204" spans="1:8" ht="19.8" x14ac:dyDescent="0.65">
      <c r="A204" s="58" t="s">
        <v>62</v>
      </c>
      <c r="B204" s="59">
        <v>45931</v>
      </c>
      <c r="C204" s="60">
        <v>237</v>
      </c>
      <c r="D204" s="60">
        <v>196</v>
      </c>
      <c r="E204" s="60" t="str">
        <f>tbl_performance[[#This Row],[employee_id]]&amp;"-"&amp;TEXT(tbl_performance[[#This Row],[month]],"mm")</f>
        <v>EMP1018-10</v>
      </c>
      <c r="F204" s="60">
        <f>COUNTIF(tbl_performance[employee_month_key],tbl_performance[[#This Row],[employee_month_key]])</f>
        <v>1</v>
      </c>
      <c r="G204" s="61">
        <f>tbl_performance[[#This Row],[achieved]]/tbl_performance[[#This Row],[target]]</f>
        <v>0.8270042194092827</v>
      </c>
      <c r="H204" s="60" t="str" cm="1">
        <f t="array" ref="H204">_xlfn.IFS(tbl_performance[[#This Row],[performance_pct]]&gt;=1.1,"Excellent",tbl_performance[[#This Row],[performance_pct]]&gt;=1,"Good",tbl_performance[[#This Row],[performance_pct]]&gt;=0.85,"Average",TRUE,"Poor")</f>
        <v>Poor</v>
      </c>
    </row>
    <row r="205" spans="1:8" ht="19.8" x14ac:dyDescent="0.65">
      <c r="A205" s="58" t="s">
        <v>62</v>
      </c>
      <c r="B205" s="59">
        <v>45962</v>
      </c>
      <c r="C205" s="60">
        <v>232</v>
      </c>
      <c r="D205" s="60">
        <v>198</v>
      </c>
      <c r="E205" s="60" t="str">
        <f>tbl_performance[[#This Row],[employee_id]]&amp;"-"&amp;TEXT(tbl_performance[[#This Row],[month]],"mm")</f>
        <v>EMP1018-11</v>
      </c>
      <c r="F205" s="60">
        <f>COUNTIF(tbl_performance[employee_month_key],tbl_performance[[#This Row],[employee_month_key]])</f>
        <v>1</v>
      </c>
      <c r="G205" s="61">
        <f>tbl_performance[[#This Row],[achieved]]/tbl_performance[[#This Row],[target]]</f>
        <v>0.85344827586206895</v>
      </c>
      <c r="H205" s="60" t="str" cm="1">
        <f t="array" ref="H2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06" spans="1:8" ht="19.8" x14ac:dyDescent="0.65">
      <c r="A206" s="58" t="s">
        <v>62</v>
      </c>
      <c r="B206" s="59">
        <v>45992</v>
      </c>
      <c r="C206" s="60">
        <v>197</v>
      </c>
      <c r="D206" s="60">
        <v>140</v>
      </c>
      <c r="E206" s="60" t="str">
        <f>tbl_performance[[#This Row],[employee_id]]&amp;"-"&amp;TEXT(tbl_performance[[#This Row],[month]],"mm")</f>
        <v>EMP1018-12</v>
      </c>
      <c r="F206" s="60">
        <f>COUNTIF(tbl_performance[employee_month_key],tbl_performance[[#This Row],[employee_month_key]])</f>
        <v>1</v>
      </c>
      <c r="G206" s="61">
        <f>tbl_performance[[#This Row],[achieved]]/tbl_performance[[#This Row],[target]]</f>
        <v>0.71065989847715738</v>
      </c>
      <c r="H206" s="60" t="str" cm="1">
        <f t="array" ref="H206">_xlfn.IFS(tbl_performance[[#This Row],[performance_pct]]&gt;=1.1,"Excellent",tbl_performance[[#This Row],[performance_pct]]&gt;=1,"Good",tbl_performance[[#This Row],[performance_pct]]&gt;=0.85,"Average",TRUE,"Poor")</f>
        <v>Poor</v>
      </c>
    </row>
    <row r="207" spans="1:8" ht="19.8" x14ac:dyDescent="0.65">
      <c r="A207" s="58" t="s">
        <v>64</v>
      </c>
      <c r="B207" s="59">
        <v>45658</v>
      </c>
      <c r="C207" s="60">
        <v>24</v>
      </c>
      <c r="D207" s="60">
        <v>26</v>
      </c>
      <c r="E207" s="60" t="str">
        <f>tbl_performance[[#This Row],[employee_id]]&amp;"-"&amp;TEXT(tbl_performance[[#This Row],[month]],"mm")</f>
        <v>EMP1019-01</v>
      </c>
      <c r="F207" s="60">
        <f>COUNTIF(tbl_performance[employee_month_key],tbl_performance[[#This Row],[employee_month_key]])</f>
        <v>1</v>
      </c>
      <c r="G207" s="61">
        <f>tbl_performance[[#This Row],[achieved]]/tbl_performance[[#This Row],[target]]</f>
        <v>1.0833333333333333</v>
      </c>
      <c r="H207" s="60" t="str" cm="1">
        <f t="array" ref="H207">_xlfn.IFS(tbl_performance[[#This Row],[performance_pct]]&gt;=1.1,"Excellent",tbl_performance[[#This Row],[performance_pct]]&gt;=1,"Good",tbl_performance[[#This Row],[performance_pct]]&gt;=0.85,"Average",TRUE,"Poor")</f>
        <v>Good</v>
      </c>
    </row>
    <row r="208" spans="1:8" ht="19.8" x14ac:dyDescent="0.65">
      <c r="A208" s="58" t="s">
        <v>64</v>
      </c>
      <c r="B208" s="59">
        <v>45689</v>
      </c>
      <c r="C208" s="60">
        <v>22</v>
      </c>
      <c r="D208" s="60">
        <v>24</v>
      </c>
      <c r="E208" s="60" t="str">
        <f>tbl_performance[[#This Row],[employee_id]]&amp;"-"&amp;TEXT(tbl_performance[[#This Row],[month]],"mm")</f>
        <v>EMP1019-02</v>
      </c>
      <c r="F208" s="60">
        <f>COUNTIF(tbl_performance[employee_month_key],tbl_performance[[#This Row],[employee_month_key]])</f>
        <v>1</v>
      </c>
      <c r="G208" s="61">
        <f>tbl_performance[[#This Row],[achieved]]/tbl_performance[[#This Row],[target]]</f>
        <v>1.0909090909090908</v>
      </c>
      <c r="H208" s="60" t="str" cm="1">
        <f t="array" ref="H208">_xlfn.IFS(tbl_performance[[#This Row],[performance_pct]]&gt;=1.1,"Excellent",tbl_performance[[#This Row],[performance_pct]]&gt;=1,"Good",tbl_performance[[#This Row],[performance_pct]]&gt;=0.85,"Average",TRUE,"Poor")</f>
        <v>Good</v>
      </c>
    </row>
    <row r="209" spans="1:8" ht="19.8" x14ac:dyDescent="0.65">
      <c r="A209" s="58" t="s">
        <v>64</v>
      </c>
      <c r="B209" s="59">
        <v>45717</v>
      </c>
      <c r="C209" s="60">
        <v>24</v>
      </c>
      <c r="D209" s="60">
        <v>27</v>
      </c>
      <c r="E209" s="60" t="str">
        <f>tbl_performance[[#This Row],[employee_id]]&amp;"-"&amp;TEXT(tbl_performance[[#This Row],[month]],"mm")</f>
        <v>EMP1019-03</v>
      </c>
      <c r="F209" s="60">
        <f>COUNTIF(tbl_performance[employee_month_key],tbl_performance[[#This Row],[employee_month_key]])</f>
        <v>1</v>
      </c>
      <c r="G209" s="61">
        <f>tbl_performance[[#This Row],[achieved]]/tbl_performance[[#This Row],[target]]</f>
        <v>1.125</v>
      </c>
      <c r="H209" s="60" t="str" cm="1">
        <f t="array" ref="H20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0" spans="1:8" ht="19.8" x14ac:dyDescent="0.65">
      <c r="A210" s="58" t="s">
        <v>64</v>
      </c>
      <c r="B210" s="59">
        <v>45748</v>
      </c>
      <c r="C210" s="60">
        <v>24</v>
      </c>
      <c r="D210" s="60">
        <v>28</v>
      </c>
      <c r="E210" s="60" t="str">
        <f>tbl_performance[[#This Row],[employee_id]]&amp;"-"&amp;TEXT(tbl_performance[[#This Row],[month]],"mm")</f>
        <v>EMP1019-04</v>
      </c>
      <c r="F210" s="60">
        <f>COUNTIF(tbl_performance[employee_month_key],tbl_performance[[#This Row],[employee_month_key]])</f>
        <v>1</v>
      </c>
      <c r="G210" s="61">
        <f>tbl_performance[[#This Row],[achieved]]/tbl_performance[[#This Row],[target]]</f>
        <v>1.1666666666666667</v>
      </c>
      <c r="H210" s="60" t="str" cm="1">
        <f t="array" ref="H21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1" spans="1:8" ht="19.8" x14ac:dyDescent="0.65">
      <c r="A211" s="58" t="s">
        <v>64</v>
      </c>
      <c r="B211" s="59">
        <v>45778</v>
      </c>
      <c r="C211" s="60">
        <v>24</v>
      </c>
      <c r="D211" s="60">
        <v>28</v>
      </c>
      <c r="E211" s="60" t="str">
        <f>tbl_performance[[#This Row],[employee_id]]&amp;"-"&amp;TEXT(tbl_performance[[#This Row],[month]],"mm")</f>
        <v>EMP1019-05</v>
      </c>
      <c r="F211" s="60">
        <f>COUNTIF(tbl_performance[employee_month_key],tbl_performance[[#This Row],[employee_month_key]])</f>
        <v>1</v>
      </c>
      <c r="G211" s="61">
        <f>tbl_performance[[#This Row],[achieved]]/tbl_performance[[#This Row],[target]]</f>
        <v>1.1666666666666667</v>
      </c>
      <c r="H211" s="60" t="str" cm="1">
        <f t="array" ref="H21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2" spans="1:8" ht="19.8" x14ac:dyDescent="0.65">
      <c r="A212" s="58" t="s">
        <v>64</v>
      </c>
      <c r="B212" s="59">
        <v>45809</v>
      </c>
      <c r="C212" s="60">
        <v>23</v>
      </c>
      <c r="D212" s="60">
        <v>25</v>
      </c>
      <c r="E212" s="60" t="str">
        <f>tbl_performance[[#This Row],[employee_id]]&amp;"-"&amp;TEXT(tbl_performance[[#This Row],[month]],"mm")</f>
        <v>EMP1019-06</v>
      </c>
      <c r="F212" s="60">
        <f>COUNTIF(tbl_performance[employee_month_key],tbl_performance[[#This Row],[employee_month_key]])</f>
        <v>1</v>
      </c>
      <c r="G212" s="61">
        <f>tbl_performance[[#This Row],[achieved]]/tbl_performance[[#This Row],[target]]</f>
        <v>1.0869565217391304</v>
      </c>
      <c r="H212" s="60" t="str" cm="1">
        <f t="array" ref="H212">_xlfn.IFS(tbl_performance[[#This Row],[performance_pct]]&gt;=1.1,"Excellent",tbl_performance[[#This Row],[performance_pct]]&gt;=1,"Good",tbl_performance[[#This Row],[performance_pct]]&gt;=0.85,"Average",TRUE,"Poor")</f>
        <v>Good</v>
      </c>
    </row>
    <row r="213" spans="1:8" ht="19.8" x14ac:dyDescent="0.65">
      <c r="A213" s="58" t="s">
        <v>64</v>
      </c>
      <c r="B213" s="59">
        <v>45839</v>
      </c>
      <c r="C213" s="60">
        <v>24</v>
      </c>
      <c r="D213" s="60">
        <v>27</v>
      </c>
      <c r="E213" s="60" t="str">
        <f>tbl_performance[[#This Row],[employee_id]]&amp;"-"&amp;TEXT(tbl_performance[[#This Row],[month]],"mm")</f>
        <v>EMP1019-07</v>
      </c>
      <c r="F213" s="60">
        <f>COUNTIF(tbl_performance[employee_month_key],tbl_performance[[#This Row],[employee_month_key]])</f>
        <v>1</v>
      </c>
      <c r="G213" s="61">
        <f>tbl_performance[[#This Row],[achieved]]/tbl_performance[[#This Row],[target]]</f>
        <v>1.125</v>
      </c>
      <c r="H213" s="60" t="str" cm="1">
        <f t="array" ref="H21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4" spans="1:8" ht="19.8" x14ac:dyDescent="0.65">
      <c r="A214" s="58" t="s">
        <v>64</v>
      </c>
      <c r="B214" s="59">
        <v>45870</v>
      </c>
      <c r="C214" s="60">
        <v>23</v>
      </c>
      <c r="D214" s="60">
        <v>25</v>
      </c>
      <c r="E214" s="60" t="str">
        <f>tbl_performance[[#This Row],[employee_id]]&amp;"-"&amp;TEXT(tbl_performance[[#This Row],[month]],"mm")</f>
        <v>EMP1019-08</v>
      </c>
      <c r="F214" s="60">
        <f>COUNTIF(tbl_performance[employee_month_key],tbl_performance[[#This Row],[employee_month_key]])</f>
        <v>1</v>
      </c>
      <c r="G214" s="61">
        <f>tbl_performance[[#This Row],[achieved]]/tbl_performance[[#This Row],[target]]</f>
        <v>1.0869565217391304</v>
      </c>
      <c r="H214" s="60" t="str" cm="1">
        <f t="array" ref="H214">_xlfn.IFS(tbl_performance[[#This Row],[performance_pct]]&gt;=1.1,"Excellent",tbl_performance[[#This Row],[performance_pct]]&gt;=1,"Good",tbl_performance[[#This Row],[performance_pct]]&gt;=0.85,"Average",TRUE,"Poor")</f>
        <v>Good</v>
      </c>
    </row>
    <row r="215" spans="1:8" ht="19.8" x14ac:dyDescent="0.65">
      <c r="A215" s="58" t="s">
        <v>64</v>
      </c>
      <c r="B215" s="59">
        <v>45901</v>
      </c>
      <c r="C215" s="60">
        <v>24</v>
      </c>
      <c r="D215" s="60">
        <v>26</v>
      </c>
      <c r="E215" s="60" t="str">
        <f>tbl_performance[[#This Row],[employee_id]]&amp;"-"&amp;TEXT(tbl_performance[[#This Row],[month]],"mm")</f>
        <v>EMP1019-09</v>
      </c>
      <c r="F215" s="60">
        <f>COUNTIF(tbl_performance[employee_month_key],tbl_performance[[#This Row],[employee_month_key]])</f>
        <v>1</v>
      </c>
      <c r="G215" s="61">
        <f>tbl_performance[[#This Row],[achieved]]/tbl_performance[[#This Row],[target]]</f>
        <v>1.0833333333333333</v>
      </c>
      <c r="H215" s="60" t="str" cm="1">
        <f t="array" ref="H215">_xlfn.IFS(tbl_performance[[#This Row],[performance_pct]]&gt;=1.1,"Excellent",tbl_performance[[#This Row],[performance_pct]]&gt;=1,"Good",tbl_performance[[#This Row],[performance_pct]]&gt;=0.85,"Average",TRUE,"Poor")</f>
        <v>Good</v>
      </c>
    </row>
    <row r="216" spans="1:8" ht="19.8" x14ac:dyDescent="0.65">
      <c r="A216" s="58" t="s">
        <v>64</v>
      </c>
      <c r="B216" s="59">
        <v>45931</v>
      </c>
      <c r="C216" s="60">
        <v>24</v>
      </c>
      <c r="D216" s="60">
        <v>27</v>
      </c>
      <c r="E216" s="60" t="str">
        <f>tbl_performance[[#This Row],[employee_id]]&amp;"-"&amp;TEXT(tbl_performance[[#This Row],[month]],"mm")</f>
        <v>EMP1019-10</v>
      </c>
      <c r="F216" s="60">
        <f>COUNTIF(tbl_performance[employee_month_key],tbl_performance[[#This Row],[employee_month_key]])</f>
        <v>1</v>
      </c>
      <c r="G216" s="61">
        <f>tbl_performance[[#This Row],[achieved]]/tbl_performance[[#This Row],[target]]</f>
        <v>1.125</v>
      </c>
      <c r="H216" s="60" t="str" cm="1">
        <f t="array" ref="H21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7" spans="1:8" ht="19.8" x14ac:dyDescent="0.65">
      <c r="A217" s="58" t="s">
        <v>64</v>
      </c>
      <c r="B217" s="59">
        <v>45962</v>
      </c>
      <c r="C217" s="60">
        <v>24</v>
      </c>
      <c r="D217" s="60">
        <v>28</v>
      </c>
      <c r="E217" s="60" t="str">
        <f>tbl_performance[[#This Row],[employee_id]]&amp;"-"&amp;TEXT(tbl_performance[[#This Row],[month]],"mm")</f>
        <v>EMP1019-11</v>
      </c>
      <c r="F217" s="60">
        <f>COUNTIF(tbl_performance[employee_month_key],tbl_performance[[#This Row],[employee_month_key]])</f>
        <v>1</v>
      </c>
      <c r="G217" s="61">
        <f>tbl_performance[[#This Row],[achieved]]/tbl_performance[[#This Row],[target]]</f>
        <v>1.1666666666666667</v>
      </c>
      <c r="H217" s="60" t="str" cm="1">
        <f t="array" ref="H21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18" spans="1:8" ht="19.8" x14ac:dyDescent="0.65">
      <c r="A218" s="58" t="s">
        <v>64</v>
      </c>
      <c r="B218" s="59">
        <v>45992</v>
      </c>
      <c r="C218" s="60">
        <v>20</v>
      </c>
      <c r="D218" s="60">
        <v>21</v>
      </c>
      <c r="E218" s="60" t="str">
        <f>tbl_performance[[#This Row],[employee_id]]&amp;"-"&amp;TEXT(tbl_performance[[#This Row],[month]],"mm")</f>
        <v>EMP1019-12</v>
      </c>
      <c r="F218" s="60">
        <f>COUNTIF(tbl_performance[employee_month_key],tbl_performance[[#This Row],[employee_month_key]])</f>
        <v>1</v>
      </c>
      <c r="G218" s="61">
        <f>tbl_performance[[#This Row],[achieved]]/tbl_performance[[#This Row],[target]]</f>
        <v>1.05</v>
      </c>
      <c r="H218" s="60" t="str" cm="1">
        <f t="array" ref="H218">_xlfn.IFS(tbl_performance[[#This Row],[performance_pct]]&gt;=1.1,"Excellent",tbl_performance[[#This Row],[performance_pct]]&gt;=1,"Good",tbl_performance[[#This Row],[performance_pct]]&gt;=0.85,"Average",TRUE,"Poor")</f>
        <v>Good</v>
      </c>
    </row>
    <row r="219" spans="1:8" ht="19.8" x14ac:dyDescent="0.65">
      <c r="A219" s="58" t="s">
        <v>67</v>
      </c>
      <c r="B219" s="59">
        <v>45658</v>
      </c>
      <c r="C219" s="60">
        <v>400</v>
      </c>
      <c r="D219" s="60">
        <v>358</v>
      </c>
      <c r="E219" s="60" t="str">
        <f>tbl_performance[[#This Row],[employee_id]]&amp;"-"&amp;TEXT(tbl_performance[[#This Row],[month]],"mm")</f>
        <v>EMP1020-01</v>
      </c>
      <c r="F219" s="60">
        <f>COUNTIF(tbl_performance[employee_month_key],tbl_performance[[#This Row],[employee_month_key]])</f>
        <v>1</v>
      </c>
      <c r="G219" s="61">
        <f>tbl_performance[[#This Row],[achieved]]/tbl_performance[[#This Row],[target]]</f>
        <v>0.89500000000000002</v>
      </c>
      <c r="H219" s="60" t="str" cm="1">
        <f t="array" ref="H2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0" spans="1:8" ht="19.8" x14ac:dyDescent="0.65">
      <c r="A220" s="58" t="s">
        <v>67</v>
      </c>
      <c r="B220" s="59">
        <v>45689</v>
      </c>
      <c r="C220" s="60">
        <v>372</v>
      </c>
      <c r="D220" s="60">
        <v>352</v>
      </c>
      <c r="E220" s="60" t="str">
        <f>tbl_performance[[#This Row],[employee_id]]&amp;"-"&amp;TEXT(tbl_performance[[#This Row],[month]],"mm")</f>
        <v>EMP1020-02</v>
      </c>
      <c r="F220" s="60">
        <f>COUNTIF(tbl_performance[employee_month_key],tbl_performance[[#This Row],[employee_month_key]])</f>
        <v>1</v>
      </c>
      <c r="G220" s="61">
        <f>tbl_performance[[#This Row],[achieved]]/tbl_performance[[#This Row],[target]]</f>
        <v>0.94623655913978499</v>
      </c>
      <c r="H220" s="60" t="str" cm="1">
        <f t="array" ref="H22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1" spans="1:8" ht="19.8" x14ac:dyDescent="0.65">
      <c r="A221" s="58" t="s">
        <v>67</v>
      </c>
      <c r="B221" s="59">
        <v>45717</v>
      </c>
      <c r="C221" s="60">
        <v>408</v>
      </c>
      <c r="D221" s="60">
        <v>391</v>
      </c>
      <c r="E221" s="60" t="str">
        <f>tbl_performance[[#This Row],[employee_id]]&amp;"-"&amp;TEXT(tbl_performance[[#This Row],[month]],"mm")</f>
        <v>EMP1020-03</v>
      </c>
      <c r="F221" s="60">
        <f>COUNTIF(tbl_performance[employee_month_key],tbl_performance[[#This Row],[employee_month_key]])</f>
        <v>1</v>
      </c>
      <c r="G221" s="61">
        <f>tbl_performance[[#This Row],[achieved]]/tbl_performance[[#This Row],[target]]</f>
        <v>0.95833333333333337</v>
      </c>
      <c r="H221" s="60" t="str" cm="1">
        <f t="array" ref="H2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2" spans="1:8" ht="19.8" x14ac:dyDescent="0.65">
      <c r="A222" s="58" t="s">
        <v>67</v>
      </c>
      <c r="B222" s="59">
        <v>45748</v>
      </c>
      <c r="C222" s="60">
        <v>400</v>
      </c>
      <c r="D222" s="60">
        <v>345</v>
      </c>
      <c r="E222" s="60" t="str">
        <f>tbl_performance[[#This Row],[employee_id]]&amp;"-"&amp;TEXT(tbl_performance[[#This Row],[month]],"mm")</f>
        <v>EMP1020-04</v>
      </c>
      <c r="F222" s="60">
        <f>COUNTIF(tbl_performance[employee_month_key],tbl_performance[[#This Row],[employee_month_key]])</f>
        <v>1</v>
      </c>
      <c r="G222" s="61">
        <f>tbl_performance[[#This Row],[achieved]]/tbl_performance[[#This Row],[target]]</f>
        <v>0.86250000000000004</v>
      </c>
      <c r="H222" s="60" t="str" cm="1">
        <f t="array" ref="H22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3" spans="1:8" ht="19.8" x14ac:dyDescent="0.65">
      <c r="A223" s="58" t="s">
        <v>67</v>
      </c>
      <c r="B223" s="59">
        <v>45778</v>
      </c>
      <c r="C223" s="60">
        <v>400</v>
      </c>
      <c r="D223" s="60">
        <v>375</v>
      </c>
      <c r="E223" s="60" t="str">
        <f>tbl_performance[[#This Row],[employee_id]]&amp;"-"&amp;TEXT(tbl_performance[[#This Row],[month]],"mm")</f>
        <v>EMP1020-05</v>
      </c>
      <c r="F223" s="60">
        <f>COUNTIF(tbl_performance[employee_month_key],tbl_performance[[#This Row],[employee_month_key]])</f>
        <v>1</v>
      </c>
      <c r="G223" s="61">
        <f>tbl_performance[[#This Row],[achieved]]/tbl_performance[[#This Row],[target]]</f>
        <v>0.9375</v>
      </c>
      <c r="H223" s="60" t="str" cm="1">
        <f t="array" ref="H22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4" spans="1:8" ht="19.8" x14ac:dyDescent="0.65">
      <c r="A224" s="58" t="s">
        <v>67</v>
      </c>
      <c r="B224" s="59">
        <v>45809</v>
      </c>
      <c r="C224" s="60">
        <v>392</v>
      </c>
      <c r="D224" s="60">
        <v>387</v>
      </c>
      <c r="E224" s="60" t="str">
        <f>tbl_performance[[#This Row],[employee_id]]&amp;"-"&amp;TEXT(tbl_performance[[#This Row],[month]],"mm")</f>
        <v>EMP1020-06</v>
      </c>
      <c r="F224" s="60">
        <f>COUNTIF(tbl_performance[employee_month_key],tbl_performance[[#This Row],[employee_month_key]])</f>
        <v>1</v>
      </c>
      <c r="G224" s="61">
        <f>tbl_performance[[#This Row],[achieved]]/tbl_performance[[#This Row],[target]]</f>
        <v>0.98724489795918369</v>
      </c>
      <c r="H224" s="60" t="str" cm="1">
        <f t="array" ref="H22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5" spans="1:8" ht="19.8" x14ac:dyDescent="0.65">
      <c r="A225" s="58" t="s">
        <v>67</v>
      </c>
      <c r="B225" s="59">
        <v>45839</v>
      </c>
      <c r="C225" s="60">
        <v>400</v>
      </c>
      <c r="D225" s="60">
        <v>355</v>
      </c>
      <c r="E225" s="60" t="str">
        <f>tbl_performance[[#This Row],[employee_id]]&amp;"-"&amp;TEXT(tbl_performance[[#This Row],[month]],"mm")</f>
        <v>EMP1020-07</v>
      </c>
      <c r="F225" s="60">
        <f>COUNTIF(tbl_performance[employee_month_key],tbl_performance[[#This Row],[employee_month_key]])</f>
        <v>1</v>
      </c>
      <c r="G225" s="61">
        <f>tbl_performance[[#This Row],[achieved]]/tbl_performance[[#This Row],[target]]</f>
        <v>0.88749999999999996</v>
      </c>
      <c r="H225" s="60" t="str" cm="1">
        <f t="array" ref="H22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6" spans="1:8" ht="19.8" x14ac:dyDescent="0.65">
      <c r="A226" s="58" t="s">
        <v>67</v>
      </c>
      <c r="B226" s="59">
        <v>45870</v>
      </c>
      <c r="C226" s="60">
        <v>388</v>
      </c>
      <c r="D226" s="60">
        <v>345</v>
      </c>
      <c r="E226" s="60" t="str">
        <f>tbl_performance[[#This Row],[employee_id]]&amp;"-"&amp;TEXT(tbl_performance[[#This Row],[month]],"mm")</f>
        <v>EMP1020-08</v>
      </c>
      <c r="F226" s="60">
        <f>COUNTIF(tbl_performance[employee_month_key],tbl_performance[[#This Row],[employee_month_key]])</f>
        <v>1</v>
      </c>
      <c r="G226" s="61">
        <f>tbl_performance[[#This Row],[achieved]]/tbl_performance[[#This Row],[target]]</f>
        <v>0.88917525773195871</v>
      </c>
      <c r="H226" s="60" t="str" cm="1">
        <f t="array" ref="H2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7" spans="1:8" ht="19.8" x14ac:dyDescent="0.65">
      <c r="A227" s="58" t="s">
        <v>67</v>
      </c>
      <c r="B227" s="59">
        <v>45901</v>
      </c>
      <c r="C227" s="60">
        <v>400</v>
      </c>
      <c r="D227" s="60">
        <v>376</v>
      </c>
      <c r="E227" s="60" t="str">
        <f>tbl_performance[[#This Row],[employee_id]]&amp;"-"&amp;TEXT(tbl_performance[[#This Row],[month]],"mm")</f>
        <v>EMP1020-09</v>
      </c>
      <c r="F227" s="60">
        <f>COUNTIF(tbl_performance[employee_month_key],tbl_performance[[#This Row],[employee_month_key]])</f>
        <v>1</v>
      </c>
      <c r="G227" s="61">
        <f>tbl_performance[[#This Row],[achieved]]/tbl_performance[[#This Row],[target]]</f>
        <v>0.94</v>
      </c>
      <c r="H227" s="60" t="str" cm="1">
        <f t="array" ref="H22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28" spans="1:8" ht="19.8" x14ac:dyDescent="0.65">
      <c r="A228" s="58" t="s">
        <v>67</v>
      </c>
      <c r="B228" s="59">
        <v>45931</v>
      </c>
      <c r="C228" s="60">
        <v>408</v>
      </c>
      <c r="D228" s="60">
        <v>336</v>
      </c>
      <c r="E228" s="60" t="str">
        <f>tbl_performance[[#This Row],[employee_id]]&amp;"-"&amp;TEXT(tbl_performance[[#This Row],[month]],"mm")</f>
        <v>EMP1020-10</v>
      </c>
      <c r="F228" s="60">
        <f>COUNTIF(tbl_performance[employee_month_key],tbl_performance[[#This Row],[employee_month_key]])</f>
        <v>1</v>
      </c>
      <c r="G228" s="61">
        <f>tbl_performance[[#This Row],[achieved]]/tbl_performance[[#This Row],[target]]</f>
        <v>0.82352941176470584</v>
      </c>
      <c r="H228" s="60" t="str" cm="1">
        <f t="array" ref="H228">_xlfn.IFS(tbl_performance[[#This Row],[performance_pct]]&gt;=1.1,"Excellent",tbl_performance[[#This Row],[performance_pct]]&gt;=1,"Good",tbl_performance[[#This Row],[performance_pct]]&gt;=0.85,"Average",TRUE,"Poor")</f>
        <v>Poor</v>
      </c>
    </row>
    <row r="229" spans="1:8" ht="19.8" x14ac:dyDescent="0.65">
      <c r="A229" s="58" t="s">
        <v>67</v>
      </c>
      <c r="B229" s="59">
        <v>45962</v>
      </c>
      <c r="C229" s="60">
        <v>400</v>
      </c>
      <c r="D229" s="60">
        <v>371</v>
      </c>
      <c r="E229" s="60" t="str">
        <f>tbl_performance[[#This Row],[employee_id]]&amp;"-"&amp;TEXT(tbl_performance[[#This Row],[month]],"mm")</f>
        <v>EMP1020-11</v>
      </c>
      <c r="F229" s="60">
        <f>COUNTIF(tbl_performance[employee_month_key],tbl_performance[[#This Row],[employee_month_key]])</f>
        <v>1</v>
      </c>
      <c r="G229" s="61">
        <f>tbl_performance[[#This Row],[achieved]]/tbl_performance[[#This Row],[target]]</f>
        <v>0.92749999999999999</v>
      </c>
      <c r="H229" s="60" t="str" cm="1">
        <f t="array" ref="H22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0" spans="1:8" ht="19.8" x14ac:dyDescent="0.65">
      <c r="A230" s="58" t="s">
        <v>67</v>
      </c>
      <c r="B230" s="59">
        <v>45992</v>
      </c>
      <c r="C230" s="60">
        <v>340</v>
      </c>
      <c r="D230" s="60">
        <v>298</v>
      </c>
      <c r="E230" s="60" t="str">
        <f>tbl_performance[[#This Row],[employee_id]]&amp;"-"&amp;TEXT(tbl_performance[[#This Row],[month]],"mm")</f>
        <v>EMP1020-12</v>
      </c>
      <c r="F230" s="60">
        <f>COUNTIF(tbl_performance[employee_month_key],tbl_performance[[#This Row],[employee_month_key]])</f>
        <v>1</v>
      </c>
      <c r="G230" s="61">
        <f>tbl_performance[[#This Row],[achieved]]/tbl_performance[[#This Row],[target]]</f>
        <v>0.87647058823529411</v>
      </c>
      <c r="H230" s="60" t="str" cm="1">
        <f t="array" ref="H23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1" spans="1:8" ht="19.8" x14ac:dyDescent="0.65">
      <c r="A231" s="58" t="s">
        <v>69</v>
      </c>
      <c r="B231" s="59">
        <v>45658</v>
      </c>
      <c r="C231" s="60">
        <v>176</v>
      </c>
      <c r="D231" s="60">
        <v>155</v>
      </c>
      <c r="E231" s="60" t="str">
        <f>tbl_performance[[#This Row],[employee_id]]&amp;"-"&amp;TEXT(tbl_performance[[#This Row],[month]],"mm")</f>
        <v>EMP1021-01</v>
      </c>
      <c r="F231" s="60">
        <f>COUNTIF(tbl_performance[employee_month_key],tbl_performance[[#This Row],[employee_month_key]])</f>
        <v>1</v>
      </c>
      <c r="G231" s="61">
        <f>tbl_performance[[#This Row],[achieved]]/tbl_performance[[#This Row],[target]]</f>
        <v>0.88068181818181823</v>
      </c>
      <c r="H231" s="60" t="str" cm="1">
        <f t="array" ref="H23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2" spans="1:8" ht="19.8" x14ac:dyDescent="0.65">
      <c r="A232" s="58" t="s">
        <v>69</v>
      </c>
      <c r="B232" s="59">
        <v>45689</v>
      </c>
      <c r="C232" s="60">
        <v>164</v>
      </c>
      <c r="D232" s="60">
        <v>155</v>
      </c>
      <c r="E232" s="60" t="str">
        <f>tbl_performance[[#This Row],[employee_id]]&amp;"-"&amp;TEXT(tbl_performance[[#This Row],[month]],"mm")</f>
        <v>EMP1021-02</v>
      </c>
      <c r="F232" s="60">
        <f>COUNTIF(tbl_performance[employee_month_key],tbl_performance[[#This Row],[employee_month_key]])</f>
        <v>1</v>
      </c>
      <c r="G232" s="61">
        <f>tbl_performance[[#This Row],[achieved]]/tbl_performance[[#This Row],[target]]</f>
        <v>0.94512195121951215</v>
      </c>
      <c r="H232" s="60" t="str" cm="1">
        <f t="array" ref="H23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3" spans="1:8" ht="19.8" x14ac:dyDescent="0.65">
      <c r="A233" s="58" t="s">
        <v>69</v>
      </c>
      <c r="B233" s="59">
        <v>45717</v>
      </c>
      <c r="C233" s="60">
        <v>179</v>
      </c>
      <c r="D233" s="60">
        <v>163</v>
      </c>
      <c r="E233" s="60" t="str">
        <f>tbl_performance[[#This Row],[employee_id]]&amp;"-"&amp;TEXT(tbl_performance[[#This Row],[month]],"mm")</f>
        <v>EMP1021-03</v>
      </c>
      <c r="F233" s="60">
        <f>COUNTIF(tbl_performance[employee_month_key],tbl_performance[[#This Row],[employee_month_key]])</f>
        <v>1</v>
      </c>
      <c r="G233" s="61">
        <f>tbl_performance[[#This Row],[achieved]]/tbl_performance[[#This Row],[target]]</f>
        <v>0.91061452513966479</v>
      </c>
      <c r="H233" s="60" t="str" cm="1">
        <f t="array" ref="H23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4" spans="1:8" ht="19.8" x14ac:dyDescent="0.65">
      <c r="A234" s="58" t="s">
        <v>69</v>
      </c>
      <c r="B234" s="59">
        <v>45748</v>
      </c>
      <c r="C234" s="60">
        <v>176</v>
      </c>
      <c r="D234" s="60">
        <v>151</v>
      </c>
      <c r="E234" s="60" t="str">
        <f>tbl_performance[[#This Row],[employee_id]]&amp;"-"&amp;TEXT(tbl_performance[[#This Row],[month]],"mm")</f>
        <v>EMP1021-04</v>
      </c>
      <c r="F234" s="60">
        <f>COUNTIF(tbl_performance[employee_month_key],tbl_performance[[#This Row],[employee_month_key]])</f>
        <v>1</v>
      </c>
      <c r="G234" s="61">
        <f>tbl_performance[[#This Row],[achieved]]/tbl_performance[[#This Row],[target]]</f>
        <v>0.85795454545454541</v>
      </c>
      <c r="H234" s="60" t="str" cm="1">
        <f t="array" ref="H23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5" spans="1:8" ht="19.8" x14ac:dyDescent="0.65">
      <c r="A235" s="58" t="s">
        <v>69</v>
      </c>
      <c r="B235" s="59">
        <v>45778</v>
      </c>
      <c r="C235" s="60">
        <v>176</v>
      </c>
      <c r="D235" s="60">
        <v>152</v>
      </c>
      <c r="E235" s="60" t="str">
        <f>tbl_performance[[#This Row],[employee_id]]&amp;"-"&amp;TEXT(tbl_performance[[#This Row],[month]],"mm")</f>
        <v>EMP1021-05</v>
      </c>
      <c r="F235" s="60">
        <f>COUNTIF(tbl_performance[employee_month_key],tbl_performance[[#This Row],[employee_month_key]])</f>
        <v>1</v>
      </c>
      <c r="G235" s="61">
        <f>tbl_performance[[#This Row],[achieved]]/tbl_performance[[#This Row],[target]]</f>
        <v>0.86363636363636365</v>
      </c>
      <c r="H235" s="60" t="str" cm="1">
        <f t="array" ref="H23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6" spans="1:8" ht="19.8" x14ac:dyDescent="0.65">
      <c r="A236" s="58" t="s">
        <v>69</v>
      </c>
      <c r="B236" s="59">
        <v>45809</v>
      </c>
      <c r="C236" s="60">
        <v>172</v>
      </c>
      <c r="D236" s="60">
        <v>139</v>
      </c>
      <c r="E236" s="60" t="str">
        <f>tbl_performance[[#This Row],[employee_id]]&amp;"-"&amp;TEXT(tbl_performance[[#This Row],[month]],"mm")</f>
        <v>EMP1021-06</v>
      </c>
      <c r="F236" s="60">
        <f>COUNTIF(tbl_performance[employee_month_key],tbl_performance[[#This Row],[employee_month_key]])</f>
        <v>1</v>
      </c>
      <c r="G236" s="61">
        <f>tbl_performance[[#This Row],[achieved]]/tbl_performance[[#This Row],[target]]</f>
        <v>0.80813953488372092</v>
      </c>
      <c r="H236" s="60" t="str" cm="1">
        <f t="array" ref="H236">_xlfn.IFS(tbl_performance[[#This Row],[performance_pct]]&gt;=1.1,"Excellent",tbl_performance[[#This Row],[performance_pct]]&gt;=1,"Good",tbl_performance[[#This Row],[performance_pct]]&gt;=0.85,"Average",TRUE,"Poor")</f>
        <v>Poor</v>
      </c>
    </row>
    <row r="237" spans="1:8" ht="19.8" x14ac:dyDescent="0.65">
      <c r="A237" s="58" t="s">
        <v>69</v>
      </c>
      <c r="B237" s="59">
        <v>45839</v>
      </c>
      <c r="C237" s="60">
        <v>176</v>
      </c>
      <c r="D237" s="60">
        <v>152</v>
      </c>
      <c r="E237" s="60" t="str">
        <f>tbl_performance[[#This Row],[employee_id]]&amp;"-"&amp;TEXT(tbl_performance[[#This Row],[month]],"mm")</f>
        <v>EMP1021-07</v>
      </c>
      <c r="F237" s="60">
        <f>COUNTIF(tbl_performance[employee_month_key],tbl_performance[[#This Row],[employee_month_key]])</f>
        <v>1</v>
      </c>
      <c r="G237" s="61">
        <f>tbl_performance[[#This Row],[achieved]]/tbl_performance[[#This Row],[target]]</f>
        <v>0.86363636363636365</v>
      </c>
      <c r="H237" s="60" t="str" cm="1">
        <f t="array" ref="H23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38" spans="1:8" ht="19.8" x14ac:dyDescent="0.65">
      <c r="A238" s="58" t="s">
        <v>69</v>
      </c>
      <c r="B238" s="59">
        <v>45870</v>
      </c>
      <c r="C238" s="60">
        <v>171</v>
      </c>
      <c r="D238" s="60">
        <v>120</v>
      </c>
      <c r="E238" s="60" t="str">
        <f>tbl_performance[[#This Row],[employee_id]]&amp;"-"&amp;TEXT(tbl_performance[[#This Row],[month]],"mm")</f>
        <v>EMP1021-08</v>
      </c>
      <c r="F238" s="60">
        <f>COUNTIF(tbl_performance[employee_month_key],tbl_performance[[#This Row],[employee_month_key]])</f>
        <v>1</v>
      </c>
      <c r="G238" s="61">
        <f>tbl_performance[[#This Row],[achieved]]/tbl_performance[[#This Row],[target]]</f>
        <v>0.70175438596491224</v>
      </c>
      <c r="H238" s="60" t="str" cm="1">
        <f t="array" ref="H238">_xlfn.IFS(tbl_performance[[#This Row],[performance_pct]]&gt;=1.1,"Excellent",tbl_performance[[#This Row],[performance_pct]]&gt;=1,"Good",tbl_performance[[#This Row],[performance_pct]]&gt;=0.85,"Average",TRUE,"Poor")</f>
        <v>Poor</v>
      </c>
    </row>
    <row r="239" spans="1:8" ht="19.8" x14ac:dyDescent="0.65">
      <c r="A239" s="58" t="s">
        <v>69</v>
      </c>
      <c r="B239" s="59">
        <v>45901</v>
      </c>
      <c r="C239" s="60">
        <v>176</v>
      </c>
      <c r="D239" s="60">
        <v>147</v>
      </c>
      <c r="E239" s="60" t="str">
        <f>tbl_performance[[#This Row],[employee_id]]&amp;"-"&amp;TEXT(tbl_performance[[#This Row],[month]],"mm")</f>
        <v>EMP1021-09</v>
      </c>
      <c r="F239" s="60">
        <f>COUNTIF(tbl_performance[employee_month_key],tbl_performance[[#This Row],[employee_month_key]])</f>
        <v>1</v>
      </c>
      <c r="G239" s="61">
        <f>tbl_performance[[#This Row],[achieved]]/tbl_performance[[#This Row],[target]]</f>
        <v>0.83522727272727271</v>
      </c>
      <c r="H239" s="60" t="str" cm="1">
        <f t="array" ref="H239">_xlfn.IFS(tbl_performance[[#This Row],[performance_pct]]&gt;=1.1,"Excellent",tbl_performance[[#This Row],[performance_pct]]&gt;=1,"Good",tbl_performance[[#This Row],[performance_pct]]&gt;=0.85,"Average",TRUE,"Poor")</f>
        <v>Poor</v>
      </c>
    </row>
    <row r="240" spans="1:8" ht="19.8" x14ac:dyDescent="0.65">
      <c r="A240" s="58" t="s">
        <v>69</v>
      </c>
      <c r="B240" s="59">
        <v>45931</v>
      </c>
      <c r="C240" s="60">
        <v>179</v>
      </c>
      <c r="D240" s="60">
        <v>147</v>
      </c>
      <c r="E240" s="60" t="str">
        <f>tbl_performance[[#This Row],[employee_id]]&amp;"-"&amp;TEXT(tbl_performance[[#This Row],[month]],"mm")</f>
        <v>EMP1021-10</v>
      </c>
      <c r="F240" s="60">
        <f>COUNTIF(tbl_performance[employee_month_key],tbl_performance[[#This Row],[employee_month_key]])</f>
        <v>1</v>
      </c>
      <c r="G240" s="61">
        <f>tbl_performance[[#This Row],[achieved]]/tbl_performance[[#This Row],[target]]</f>
        <v>0.82122905027932958</v>
      </c>
      <c r="H240" s="60" t="str" cm="1">
        <f t="array" ref="H240">_xlfn.IFS(tbl_performance[[#This Row],[performance_pct]]&gt;=1.1,"Excellent",tbl_performance[[#This Row],[performance_pct]]&gt;=1,"Good",tbl_performance[[#This Row],[performance_pct]]&gt;=0.85,"Average",TRUE,"Poor")</f>
        <v>Poor</v>
      </c>
    </row>
    <row r="241" spans="1:8" ht="19.8" x14ac:dyDescent="0.65">
      <c r="A241" s="58" t="s">
        <v>69</v>
      </c>
      <c r="B241" s="59">
        <v>45962</v>
      </c>
      <c r="C241" s="60">
        <v>176</v>
      </c>
      <c r="D241" s="60">
        <v>157</v>
      </c>
      <c r="E241" s="60" t="str">
        <f>tbl_performance[[#This Row],[employee_id]]&amp;"-"&amp;TEXT(tbl_performance[[#This Row],[month]],"mm")</f>
        <v>EMP1021-11</v>
      </c>
      <c r="F241" s="60">
        <f>COUNTIF(tbl_performance[employee_month_key],tbl_performance[[#This Row],[employee_month_key]])</f>
        <v>1</v>
      </c>
      <c r="G241" s="61">
        <f>tbl_performance[[#This Row],[achieved]]/tbl_performance[[#This Row],[target]]</f>
        <v>0.89204545454545459</v>
      </c>
      <c r="H241" s="60" t="str" cm="1">
        <f t="array" ref="H24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2" spans="1:8" ht="19.8" x14ac:dyDescent="0.65">
      <c r="A242" s="58" t="s">
        <v>69</v>
      </c>
      <c r="B242" s="59">
        <v>45992</v>
      </c>
      <c r="C242" s="60">
        <v>149</v>
      </c>
      <c r="D242" s="60">
        <v>131</v>
      </c>
      <c r="E242" s="60" t="str">
        <f>tbl_performance[[#This Row],[employee_id]]&amp;"-"&amp;TEXT(tbl_performance[[#This Row],[month]],"mm")</f>
        <v>EMP1021-12</v>
      </c>
      <c r="F242" s="60">
        <f>COUNTIF(tbl_performance[employee_month_key],tbl_performance[[#This Row],[employee_month_key]])</f>
        <v>1</v>
      </c>
      <c r="G242" s="61">
        <f>tbl_performance[[#This Row],[achieved]]/tbl_performance[[#This Row],[target]]</f>
        <v>0.87919463087248317</v>
      </c>
      <c r="H242" s="60" t="str" cm="1">
        <f t="array" ref="H24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3" spans="1:8" ht="19.8" x14ac:dyDescent="0.65">
      <c r="A243" s="58" t="s">
        <v>72</v>
      </c>
      <c r="B243" s="59">
        <v>45658</v>
      </c>
      <c r="C243" s="60">
        <v>53837</v>
      </c>
      <c r="D243" s="60">
        <v>49913</v>
      </c>
      <c r="E243" s="60" t="str">
        <f>tbl_performance[[#This Row],[employee_id]]&amp;"-"&amp;TEXT(tbl_performance[[#This Row],[month]],"mm")</f>
        <v>EMP1022-01</v>
      </c>
      <c r="F243" s="60">
        <f>COUNTIF(tbl_performance[employee_month_key],tbl_performance[[#This Row],[employee_month_key]])</f>
        <v>1</v>
      </c>
      <c r="G243" s="61">
        <f>tbl_performance[[#This Row],[achieved]]/tbl_performance[[#This Row],[target]]</f>
        <v>0.92711332355071796</v>
      </c>
      <c r="H243" s="60" t="str" cm="1">
        <f t="array" ref="H24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4" spans="1:8" ht="19.8" x14ac:dyDescent="0.65">
      <c r="A244" s="58" t="s">
        <v>72</v>
      </c>
      <c r="B244" s="59">
        <v>45689</v>
      </c>
      <c r="C244" s="60">
        <v>50068</v>
      </c>
      <c r="D244" s="60">
        <v>48865</v>
      </c>
      <c r="E244" s="60" t="str">
        <f>tbl_performance[[#This Row],[employee_id]]&amp;"-"&amp;TEXT(tbl_performance[[#This Row],[month]],"mm")</f>
        <v>EMP1022-02</v>
      </c>
      <c r="F244" s="60">
        <f>COUNTIF(tbl_performance[employee_month_key],tbl_performance[[#This Row],[employee_month_key]])</f>
        <v>1</v>
      </c>
      <c r="G244" s="61">
        <f>tbl_performance[[#This Row],[achieved]]/tbl_performance[[#This Row],[target]]</f>
        <v>0.97597267715906366</v>
      </c>
      <c r="H244" s="60" t="str" cm="1">
        <f t="array" ref="H24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5" spans="1:8" ht="19.8" x14ac:dyDescent="0.65">
      <c r="A245" s="58" t="s">
        <v>72</v>
      </c>
      <c r="B245" s="59">
        <v>45717</v>
      </c>
      <c r="C245" s="60">
        <v>54914</v>
      </c>
      <c r="D245" s="60">
        <v>49248</v>
      </c>
      <c r="E245" s="60" t="str">
        <f>tbl_performance[[#This Row],[employee_id]]&amp;"-"&amp;TEXT(tbl_performance[[#This Row],[month]],"mm")</f>
        <v>EMP1022-03</v>
      </c>
      <c r="F245" s="60">
        <f>COUNTIF(tbl_performance[employee_month_key],tbl_performance[[#This Row],[employee_month_key]])</f>
        <v>1</v>
      </c>
      <c r="G245" s="61">
        <f>tbl_performance[[#This Row],[achieved]]/tbl_performance[[#This Row],[target]]</f>
        <v>0.89682048293695593</v>
      </c>
      <c r="H245" s="60" t="str" cm="1">
        <f t="array" ref="H24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6" spans="1:8" ht="19.8" x14ac:dyDescent="0.65">
      <c r="A246" s="58" t="s">
        <v>72</v>
      </c>
      <c r="B246" s="59">
        <v>45748</v>
      </c>
      <c r="C246" s="60">
        <v>53837</v>
      </c>
      <c r="D246" s="60">
        <v>51649</v>
      </c>
      <c r="E246" s="60" t="str">
        <f>tbl_performance[[#This Row],[employee_id]]&amp;"-"&amp;TEXT(tbl_performance[[#This Row],[month]],"mm")</f>
        <v>EMP1022-04</v>
      </c>
      <c r="F246" s="60">
        <f>COUNTIF(tbl_performance[employee_month_key],tbl_performance[[#This Row],[employee_month_key]])</f>
        <v>1</v>
      </c>
      <c r="G246" s="61">
        <f>tbl_performance[[#This Row],[achieved]]/tbl_performance[[#This Row],[target]]</f>
        <v>0.9593588052826123</v>
      </c>
      <c r="H246" s="60" t="str" cm="1">
        <f t="array" ref="H24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7" spans="1:8" ht="19.8" x14ac:dyDescent="0.65">
      <c r="A247" s="58" t="s">
        <v>72</v>
      </c>
      <c r="B247" s="59">
        <v>45778</v>
      </c>
      <c r="C247" s="60">
        <v>53837</v>
      </c>
      <c r="D247" s="60">
        <v>50510</v>
      </c>
      <c r="E247" s="60" t="str">
        <f>tbl_performance[[#This Row],[employee_id]]&amp;"-"&amp;TEXT(tbl_performance[[#This Row],[month]],"mm")</f>
        <v>EMP1022-05</v>
      </c>
      <c r="F247" s="60">
        <f>COUNTIF(tbl_performance[employee_month_key],tbl_performance[[#This Row],[employee_month_key]])</f>
        <v>1</v>
      </c>
      <c r="G247" s="61">
        <f>tbl_performance[[#This Row],[achieved]]/tbl_performance[[#This Row],[target]]</f>
        <v>0.93820235154261944</v>
      </c>
      <c r="H247" s="60" t="str" cm="1">
        <f t="array" ref="H24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8" spans="1:8" ht="19.8" x14ac:dyDescent="0.65">
      <c r="A248" s="58" t="s">
        <v>72</v>
      </c>
      <c r="B248" s="59">
        <v>45809</v>
      </c>
      <c r="C248" s="60">
        <v>52760</v>
      </c>
      <c r="D248" s="60">
        <v>49949</v>
      </c>
      <c r="E248" s="60" t="str">
        <f>tbl_performance[[#This Row],[employee_id]]&amp;"-"&amp;TEXT(tbl_performance[[#This Row],[month]],"mm")</f>
        <v>EMP1022-06</v>
      </c>
      <c r="F248" s="60">
        <f>COUNTIF(tbl_performance[employee_month_key],tbl_performance[[#This Row],[employee_month_key]])</f>
        <v>1</v>
      </c>
      <c r="G248" s="61">
        <f>tbl_performance[[#This Row],[achieved]]/tbl_performance[[#This Row],[target]]</f>
        <v>0.94672100075815013</v>
      </c>
      <c r="H248" s="60" t="str" cm="1">
        <f t="array" ref="H24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49" spans="1:8" ht="19.8" x14ac:dyDescent="0.65">
      <c r="A249" s="58" t="s">
        <v>72</v>
      </c>
      <c r="B249" s="59">
        <v>45839</v>
      </c>
      <c r="C249" s="60">
        <v>53837</v>
      </c>
      <c r="D249" s="60">
        <v>46281</v>
      </c>
      <c r="E249" s="60" t="str">
        <f>tbl_performance[[#This Row],[employee_id]]&amp;"-"&amp;TEXT(tbl_performance[[#This Row],[month]],"mm")</f>
        <v>EMP1022-07</v>
      </c>
      <c r="F249" s="60">
        <f>COUNTIF(tbl_performance[employee_month_key],tbl_performance[[#This Row],[employee_month_key]])</f>
        <v>1</v>
      </c>
      <c r="G249" s="61">
        <f>tbl_performance[[#This Row],[achieved]]/tbl_performance[[#This Row],[target]]</f>
        <v>0.85965042628675448</v>
      </c>
      <c r="H249" s="60" t="str" cm="1">
        <f t="array" ref="H24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50" spans="1:8" ht="19.8" x14ac:dyDescent="0.65">
      <c r="A250" s="58" t="s">
        <v>72</v>
      </c>
      <c r="B250" s="59">
        <v>45870</v>
      </c>
      <c r="C250" s="60">
        <v>52222</v>
      </c>
      <c r="D250" s="60">
        <v>49057</v>
      </c>
      <c r="E250" s="60" t="str">
        <f>tbl_performance[[#This Row],[employee_id]]&amp;"-"&amp;TEXT(tbl_performance[[#This Row],[month]],"mm")</f>
        <v>EMP1022-08</v>
      </c>
      <c r="F250" s="60">
        <f>COUNTIF(tbl_performance[employee_month_key],tbl_performance[[#This Row],[employee_month_key]])</f>
        <v>1</v>
      </c>
      <c r="G250" s="61">
        <f>tbl_performance[[#This Row],[achieved]]/tbl_performance[[#This Row],[target]]</f>
        <v>0.93939335912067712</v>
      </c>
      <c r="H250" s="60" t="str" cm="1">
        <f t="array" ref="H25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51" spans="1:8" ht="19.8" x14ac:dyDescent="0.65">
      <c r="A251" s="58" t="s">
        <v>72</v>
      </c>
      <c r="B251" s="59">
        <v>45901</v>
      </c>
      <c r="C251" s="60">
        <v>53837</v>
      </c>
      <c r="D251" s="60">
        <v>53124</v>
      </c>
      <c r="E251" s="60" t="str">
        <f>tbl_performance[[#This Row],[employee_id]]&amp;"-"&amp;TEXT(tbl_performance[[#This Row],[month]],"mm")</f>
        <v>EMP1022-09</v>
      </c>
      <c r="F251" s="60">
        <f>COUNTIF(tbl_performance[employee_month_key],tbl_performance[[#This Row],[employee_month_key]])</f>
        <v>1</v>
      </c>
      <c r="G251" s="61">
        <f>tbl_performance[[#This Row],[achieved]]/tbl_performance[[#This Row],[target]]</f>
        <v>0.98675632000297198</v>
      </c>
      <c r="H251" s="60" t="str" cm="1">
        <f t="array" ref="H25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52" spans="1:8" ht="19.8" x14ac:dyDescent="0.65">
      <c r="A252" s="58" t="s">
        <v>72</v>
      </c>
      <c r="B252" s="59">
        <v>45931</v>
      </c>
      <c r="C252" s="60">
        <v>54914</v>
      </c>
      <c r="D252" s="60">
        <v>59420</v>
      </c>
      <c r="E252" s="60" t="str">
        <f>tbl_performance[[#This Row],[employee_id]]&amp;"-"&amp;TEXT(tbl_performance[[#This Row],[month]],"mm")</f>
        <v>EMP1022-10</v>
      </c>
      <c r="F252" s="60">
        <f>COUNTIF(tbl_performance[employee_month_key],tbl_performance[[#This Row],[employee_month_key]])</f>
        <v>1</v>
      </c>
      <c r="G252" s="61">
        <f>tbl_performance[[#This Row],[achieved]]/tbl_performance[[#This Row],[target]]</f>
        <v>1.0820555778125798</v>
      </c>
      <c r="H252" s="60" t="str" cm="1">
        <f t="array" ref="H252">_xlfn.IFS(tbl_performance[[#This Row],[performance_pct]]&gt;=1.1,"Excellent",tbl_performance[[#This Row],[performance_pct]]&gt;=1,"Good",tbl_performance[[#This Row],[performance_pct]]&gt;=0.85,"Average",TRUE,"Poor")</f>
        <v>Good</v>
      </c>
    </row>
    <row r="253" spans="1:8" ht="19.8" x14ac:dyDescent="0.65">
      <c r="A253" s="58" t="s">
        <v>72</v>
      </c>
      <c r="B253" s="59">
        <v>45962</v>
      </c>
      <c r="C253" s="60">
        <v>53837</v>
      </c>
      <c r="D253" s="60">
        <v>60991</v>
      </c>
      <c r="E253" s="60" t="str">
        <f>tbl_performance[[#This Row],[employee_id]]&amp;"-"&amp;TEXT(tbl_performance[[#This Row],[month]],"mm")</f>
        <v>EMP1022-11</v>
      </c>
      <c r="F253" s="60">
        <f>COUNTIF(tbl_performance[employee_month_key],tbl_performance[[#This Row],[employee_month_key]])</f>
        <v>1</v>
      </c>
      <c r="G253" s="61">
        <f>tbl_performance[[#This Row],[achieved]]/tbl_performance[[#This Row],[target]]</f>
        <v>1.1328825900403068</v>
      </c>
      <c r="H253" s="60" t="str" cm="1">
        <f t="array" ref="H25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54" spans="1:8" ht="19.8" x14ac:dyDescent="0.65">
      <c r="A254" s="58" t="s">
        <v>72</v>
      </c>
      <c r="B254" s="59">
        <v>45992</v>
      </c>
      <c r="C254" s="60">
        <v>45761</v>
      </c>
      <c r="D254" s="60">
        <v>59135</v>
      </c>
      <c r="E254" s="60" t="str">
        <f>tbl_performance[[#This Row],[employee_id]]&amp;"-"&amp;TEXT(tbl_performance[[#This Row],[month]],"mm")</f>
        <v>EMP1022-12</v>
      </c>
      <c r="F254" s="60">
        <f>COUNTIF(tbl_performance[employee_month_key],tbl_performance[[#This Row],[employee_month_key]])</f>
        <v>1</v>
      </c>
      <c r="G254" s="61">
        <f>tbl_performance[[#This Row],[achieved]]/tbl_performance[[#This Row],[target]]</f>
        <v>1.2922575992657503</v>
      </c>
      <c r="H254" s="60" t="str" cm="1">
        <f t="array" ref="H25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55" spans="1:8" ht="19.8" x14ac:dyDescent="0.65">
      <c r="A255" s="58" t="s">
        <v>74</v>
      </c>
      <c r="B255" s="59">
        <v>45748</v>
      </c>
      <c r="C255" s="60">
        <v>87</v>
      </c>
      <c r="D255" s="60">
        <v>82</v>
      </c>
      <c r="E255" s="60" t="str">
        <f>tbl_performance[[#This Row],[employee_id]]&amp;"-"&amp;TEXT(tbl_performance[[#This Row],[month]],"mm")</f>
        <v>EMP1023-04</v>
      </c>
      <c r="F255" s="60">
        <f>COUNTIF(tbl_performance[employee_month_key],tbl_performance[[#This Row],[employee_month_key]])</f>
        <v>1</v>
      </c>
      <c r="G255" s="61">
        <f>tbl_performance[[#This Row],[achieved]]/tbl_performance[[#This Row],[target]]</f>
        <v>0.94252873563218387</v>
      </c>
      <c r="H255" s="60" t="str" cm="1">
        <f t="array" ref="H2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56" spans="1:8" ht="19.8" x14ac:dyDescent="0.65">
      <c r="A256" s="58" t="s">
        <v>74</v>
      </c>
      <c r="B256" s="59">
        <v>45778</v>
      </c>
      <c r="C256" s="60">
        <v>87</v>
      </c>
      <c r="D256" s="60">
        <v>78</v>
      </c>
      <c r="E256" s="60" t="str">
        <f>tbl_performance[[#This Row],[employee_id]]&amp;"-"&amp;TEXT(tbl_performance[[#This Row],[month]],"mm")</f>
        <v>EMP1023-05</v>
      </c>
      <c r="F256" s="60">
        <f>COUNTIF(tbl_performance[employee_month_key],tbl_performance[[#This Row],[employee_month_key]])</f>
        <v>1</v>
      </c>
      <c r="G256" s="61">
        <f>tbl_performance[[#This Row],[achieved]]/tbl_performance[[#This Row],[target]]</f>
        <v>0.89655172413793105</v>
      </c>
      <c r="H256" s="60" t="str" cm="1">
        <f t="array" ref="H25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57" spans="1:8" ht="19.8" x14ac:dyDescent="0.65">
      <c r="A257" s="58" t="s">
        <v>74</v>
      </c>
      <c r="B257" s="59">
        <v>45809</v>
      </c>
      <c r="C257" s="60">
        <v>85</v>
      </c>
      <c r="D257" s="60">
        <v>93</v>
      </c>
      <c r="E257" s="60" t="str">
        <f>tbl_performance[[#This Row],[employee_id]]&amp;"-"&amp;TEXT(tbl_performance[[#This Row],[month]],"mm")</f>
        <v>EMP1023-06</v>
      </c>
      <c r="F257" s="60">
        <f>COUNTIF(tbl_performance[employee_month_key],tbl_performance[[#This Row],[employee_month_key]])</f>
        <v>1</v>
      </c>
      <c r="G257" s="61">
        <f>tbl_performance[[#This Row],[achieved]]/tbl_performance[[#This Row],[target]]</f>
        <v>1.0941176470588236</v>
      </c>
      <c r="H257" s="60" t="str" cm="1">
        <f t="array" ref="H257">_xlfn.IFS(tbl_performance[[#This Row],[performance_pct]]&gt;=1.1,"Excellent",tbl_performance[[#This Row],[performance_pct]]&gt;=1,"Good",tbl_performance[[#This Row],[performance_pct]]&gt;=0.85,"Average",TRUE,"Poor")</f>
        <v>Good</v>
      </c>
    </row>
    <row r="258" spans="1:8" ht="19.8" x14ac:dyDescent="0.65">
      <c r="A258" s="58" t="s">
        <v>74</v>
      </c>
      <c r="B258" s="59">
        <v>45839</v>
      </c>
      <c r="C258" s="60">
        <v>87</v>
      </c>
      <c r="D258" s="60">
        <v>72</v>
      </c>
      <c r="E258" s="60" t="str">
        <f>tbl_performance[[#This Row],[employee_id]]&amp;"-"&amp;TEXT(tbl_performance[[#This Row],[month]],"mm")</f>
        <v>EMP1023-07</v>
      </c>
      <c r="F258" s="60">
        <f>COUNTIF(tbl_performance[employee_month_key],tbl_performance[[#This Row],[employee_month_key]])</f>
        <v>1</v>
      </c>
      <c r="G258" s="61">
        <f>tbl_performance[[#This Row],[achieved]]/tbl_performance[[#This Row],[target]]</f>
        <v>0.82758620689655171</v>
      </c>
      <c r="H258" s="60" t="str" cm="1">
        <f t="array" ref="H258">_xlfn.IFS(tbl_performance[[#This Row],[performance_pct]]&gt;=1.1,"Excellent",tbl_performance[[#This Row],[performance_pct]]&gt;=1,"Good",tbl_performance[[#This Row],[performance_pct]]&gt;=0.85,"Average",TRUE,"Poor")</f>
        <v>Poor</v>
      </c>
    </row>
    <row r="259" spans="1:8" ht="19.8" x14ac:dyDescent="0.65">
      <c r="A259" s="58" t="s">
        <v>74</v>
      </c>
      <c r="B259" s="59">
        <v>45870</v>
      </c>
      <c r="C259" s="60">
        <v>85</v>
      </c>
      <c r="D259" s="60">
        <v>71</v>
      </c>
      <c r="E259" s="60" t="str">
        <f>tbl_performance[[#This Row],[employee_id]]&amp;"-"&amp;TEXT(tbl_performance[[#This Row],[month]],"mm")</f>
        <v>EMP1023-08</v>
      </c>
      <c r="F259" s="60">
        <f>COUNTIF(tbl_performance[employee_month_key],tbl_performance[[#This Row],[employee_month_key]])</f>
        <v>1</v>
      </c>
      <c r="G259" s="61">
        <f>tbl_performance[[#This Row],[achieved]]/tbl_performance[[#This Row],[target]]</f>
        <v>0.83529411764705885</v>
      </c>
      <c r="H259" s="60" t="str" cm="1">
        <f t="array" ref="H259">_xlfn.IFS(tbl_performance[[#This Row],[performance_pct]]&gt;=1.1,"Excellent",tbl_performance[[#This Row],[performance_pct]]&gt;=1,"Good",tbl_performance[[#This Row],[performance_pct]]&gt;=0.85,"Average",TRUE,"Poor")</f>
        <v>Poor</v>
      </c>
    </row>
    <row r="260" spans="1:8" ht="19.8" x14ac:dyDescent="0.65">
      <c r="A260" s="58" t="s">
        <v>74</v>
      </c>
      <c r="B260" s="59">
        <v>45901</v>
      </c>
      <c r="C260" s="60">
        <v>87</v>
      </c>
      <c r="D260" s="60">
        <v>74</v>
      </c>
      <c r="E260" s="60" t="str">
        <f>tbl_performance[[#This Row],[employee_id]]&amp;"-"&amp;TEXT(tbl_performance[[#This Row],[month]],"mm")</f>
        <v>EMP1023-09</v>
      </c>
      <c r="F260" s="60">
        <f>COUNTIF(tbl_performance[employee_month_key],tbl_performance[[#This Row],[employee_month_key]])</f>
        <v>1</v>
      </c>
      <c r="G260" s="61">
        <f>tbl_performance[[#This Row],[achieved]]/tbl_performance[[#This Row],[target]]</f>
        <v>0.85057471264367812</v>
      </c>
      <c r="H260" s="60" t="str" cm="1">
        <f t="array" ref="H26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61" spans="1:8" ht="19.8" x14ac:dyDescent="0.65">
      <c r="A261" s="58" t="s">
        <v>74</v>
      </c>
      <c r="B261" s="59">
        <v>45931</v>
      </c>
      <c r="C261" s="60">
        <v>89</v>
      </c>
      <c r="D261" s="60">
        <v>66</v>
      </c>
      <c r="E261" s="60" t="str">
        <f>tbl_performance[[#This Row],[employee_id]]&amp;"-"&amp;TEXT(tbl_performance[[#This Row],[month]],"mm")</f>
        <v>EMP1023-10</v>
      </c>
      <c r="F261" s="60">
        <f>COUNTIF(tbl_performance[employee_month_key],tbl_performance[[#This Row],[employee_month_key]])</f>
        <v>1</v>
      </c>
      <c r="G261" s="61">
        <f>tbl_performance[[#This Row],[achieved]]/tbl_performance[[#This Row],[target]]</f>
        <v>0.7415730337078652</v>
      </c>
      <c r="H261" s="60" t="str" cm="1">
        <f t="array" ref="H261">_xlfn.IFS(tbl_performance[[#This Row],[performance_pct]]&gt;=1.1,"Excellent",tbl_performance[[#This Row],[performance_pct]]&gt;=1,"Good",tbl_performance[[#This Row],[performance_pct]]&gt;=0.85,"Average",TRUE,"Poor")</f>
        <v>Poor</v>
      </c>
    </row>
    <row r="262" spans="1:8" ht="19.8" x14ac:dyDescent="0.65">
      <c r="A262" s="58" t="s">
        <v>74</v>
      </c>
      <c r="B262" s="59">
        <v>45962</v>
      </c>
      <c r="C262" s="60">
        <v>87</v>
      </c>
      <c r="D262" s="60">
        <v>83</v>
      </c>
      <c r="E262" s="60" t="str">
        <f>tbl_performance[[#This Row],[employee_id]]&amp;"-"&amp;TEXT(tbl_performance[[#This Row],[month]],"mm")</f>
        <v>EMP1023-11</v>
      </c>
      <c r="F262" s="60">
        <f>COUNTIF(tbl_performance[employee_month_key],tbl_performance[[#This Row],[employee_month_key]])</f>
        <v>1</v>
      </c>
      <c r="G262" s="61">
        <f>tbl_performance[[#This Row],[achieved]]/tbl_performance[[#This Row],[target]]</f>
        <v>0.95402298850574707</v>
      </c>
      <c r="H262" s="60" t="str" cm="1">
        <f t="array" ref="H26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63" spans="1:8" ht="19.8" x14ac:dyDescent="0.65">
      <c r="A263" s="58" t="s">
        <v>74</v>
      </c>
      <c r="B263" s="59">
        <v>45992</v>
      </c>
      <c r="C263" s="60">
        <v>74</v>
      </c>
      <c r="D263" s="60">
        <v>62</v>
      </c>
      <c r="E263" s="60" t="str">
        <f>tbl_performance[[#This Row],[employee_id]]&amp;"-"&amp;TEXT(tbl_performance[[#This Row],[month]],"mm")</f>
        <v>EMP1023-12</v>
      </c>
      <c r="F263" s="60">
        <f>COUNTIF(tbl_performance[employee_month_key],tbl_performance[[#This Row],[employee_month_key]])</f>
        <v>1</v>
      </c>
      <c r="G263" s="61">
        <f>tbl_performance[[#This Row],[achieved]]/tbl_performance[[#This Row],[target]]</f>
        <v>0.83783783783783783</v>
      </c>
      <c r="H263" s="60" t="str" cm="1">
        <f t="array" ref="H263">_xlfn.IFS(tbl_performance[[#This Row],[performance_pct]]&gt;=1.1,"Excellent",tbl_performance[[#This Row],[performance_pct]]&gt;=1,"Good",tbl_performance[[#This Row],[performance_pct]]&gt;=0.85,"Average",TRUE,"Poor")</f>
        <v>Poor</v>
      </c>
    </row>
    <row r="264" spans="1:8" ht="19.8" x14ac:dyDescent="0.65">
      <c r="A264" s="58" t="s">
        <v>76</v>
      </c>
      <c r="B264" s="59">
        <v>45658</v>
      </c>
      <c r="C264" s="60">
        <v>25</v>
      </c>
      <c r="D264" s="60">
        <v>27</v>
      </c>
      <c r="E264" s="60" t="str">
        <f>tbl_performance[[#This Row],[employee_id]]&amp;"-"&amp;TEXT(tbl_performance[[#This Row],[month]],"mm")</f>
        <v>EMP1024-01</v>
      </c>
      <c r="F264" s="60">
        <f>COUNTIF(tbl_performance[employee_month_key],tbl_performance[[#This Row],[employee_month_key]])</f>
        <v>1</v>
      </c>
      <c r="G264" s="61">
        <f>tbl_performance[[#This Row],[achieved]]/tbl_performance[[#This Row],[target]]</f>
        <v>1.08</v>
      </c>
      <c r="H264" s="60" t="str" cm="1">
        <f t="array" ref="H264">_xlfn.IFS(tbl_performance[[#This Row],[performance_pct]]&gt;=1.1,"Excellent",tbl_performance[[#This Row],[performance_pct]]&gt;=1,"Good",tbl_performance[[#This Row],[performance_pct]]&gt;=0.85,"Average",TRUE,"Poor")</f>
        <v>Good</v>
      </c>
    </row>
    <row r="265" spans="1:8" ht="19.8" x14ac:dyDescent="0.65">
      <c r="A265" s="58" t="s">
        <v>76</v>
      </c>
      <c r="B265" s="59">
        <v>45689</v>
      </c>
      <c r="C265" s="60">
        <v>23</v>
      </c>
      <c r="D265" s="60">
        <v>26</v>
      </c>
      <c r="E265" s="60" t="str">
        <f>tbl_performance[[#This Row],[employee_id]]&amp;"-"&amp;TEXT(tbl_performance[[#This Row],[month]],"mm")</f>
        <v>EMP1024-02</v>
      </c>
      <c r="F265" s="60">
        <f>COUNTIF(tbl_performance[employee_month_key],tbl_performance[[#This Row],[employee_month_key]])</f>
        <v>1</v>
      </c>
      <c r="G265" s="61">
        <f>tbl_performance[[#This Row],[achieved]]/tbl_performance[[#This Row],[target]]</f>
        <v>1.1304347826086956</v>
      </c>
      <c r="H265" s="60" t="str" cm="1">
        <f t="array" ref="H26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66" spans="1:8" ht="19.8" x14ac:dyDescent="0.65">
      <c r="A266" s="58" t="s">
        <v>76</v>
      </c>
      <c r="B266" s="59">
        <v>45717</v>
      </c>
      <c r="C266" s="60">
        <v>25</v>
      </c>
      <c r="D266" s="60">
        <v>26</v>
      </c>
      <c r="E266" s="60" t="str">
        <f>tbl_performance[[#This Row],[employee_id]]&amp;"-"&amp;TEXT(tbl_performance[[#This Row],[month]],"mm")</f>
        <v>EMP1024-03</v>
      </c>
      <c r="F266" s="60">
        <f>COUNTIF(tbl_performance[employee_month_key],tbl_performance[[#This Row],[employee_month_key]])</f>
        <v>1</v>
      </c>
      <c r="G266" s="61">
        <f>tbl_performance[[#This Row],[achieved]]/tbl_performance[[#This Row],[target]]</f>
        <v>1.04</v>
      </c>
      <c r="H266" s="60" t="str" cm="1">
        <f t="array" ref="H266">_xlfn.IFS(tbl_performance[[#This Row],[performance_pct]]&gt;=1.1,"Excellent",tbl_performance[[#This Row],[performance_pct]]&gt;=1,"Good",tbl_performance[[#This Row],[performance_pct]]&gt;=0.85,"Average",TRUE,"Poor")</f>
        <v>Good</v>
      </c>
    </row>
    <row r="267" spans="1:8" ht="19.8" x14ac:dyDescent="0.65">
      <c r="A267" s="58" t="s">
        <v>76</v>
      </c>
      <c r="B267" s="59">
        <v>45748</v>
      </c>
      <c r="C267" s="60">
        <v>25</v>
      </c>
      <c r="D267" s="60">
        <v>26</v>
      </c>
      <c r="E267" s="60" t="str">
        <f>tbl_performance[[#This Row],[employee_id]]&amp;"-"&amp;TEXT(tbl_performance[[#This Row],[month]],"mm")</f>
        <v>EMP1024-04</v>
      </c>
      <c r="F267" s="60">
        <f>COUNTIF(tbl_performance[employee_month_key],tbl_performance[[#This Row],[employee_month_key]])</f>
        <v>1</v>
      </c>
      <c r="G267" s="61">
        <f>tbl_performance[[#This Row],[achieved]]/tbl_performance[[#This Row],[target]]</f>
        <v>1.04</v>
      </c>
      <c r="H267" s="60" t="str" cm="1">
        <f t="array" ref="H267">_xlfn.IFS(tbl_performance[[#This Row],[performance_pct]]&gt;=1.1,"Excellent",tbl_performance[[#This Row],[performance_pct]]&gt;=1,"Good",tbl_performance[[#This Row],[performance_pct]]&gt;=0.85,"Average",TRUE,"Poor")</f>
        <v>Good</v>
      </c>
    </row>
    <row r="268" spans="1:8" ht="19.8" x14ac:dyDescent="0.65">
      <c r="A268" s="58" t="s">
        <v>76</v>
      </c>
      <c r="B268" s="59">
        <v>45778</v>
      </c>
      <c r="C268" s="60">
        <v>25</v>
      </c>
      <c r="D268" s="60">
        <v>26</v>
      </c>
      <c r="E268" s="60" t="str">
        <f>tbl_performance[[#This Row],[employee_id]]&amp;"-"&amp;TEXT(tbl_performance[[#This Row],[month]],"mm")</f>
        <v>EMP1024-05</v>
      </c>
      <c r="F268" s="60">
        <f>COUNTIF(tbl_performance[employee_month_key],tbl_performance[[#This Row],[employee_month_key]])</f>
        <v>1</v>
      </c>
      <c r="G268" s="61">
        <f>tbl_performance[[#This Row],[achieved]]/tbl_performance[[#This Row],[target]]</f>
        <v>1.04</v>
      </c>
      <c r="H268" s="60" t="str" cm="1">
        <f t="array" ref="H268">_xlfn.IFS(tbl_performance[[#This Row],[performance_pct]]&gt;=1.1,"Excellent",tbl_performance[[#This Row],[performance_pct]]&gt;=1,"Good",tbl_performance[[#This Row],[performance_pct]]&gt;=0.85,"Average",TRUE,"Poor")</f>
        <v>Good</v>
      </c>
    </row>
    <row r="269" spans="1:8" ht="19.8" x14ac:dyDescent="0.65">
      <c r="A269" s="58" t="s">
        <v>76</v>
      </c>
      <c r="B269" s="59">
        <v>45809</v>
      </c>
      <c r="C269" s="60">
        <v>24</v>
      </c>
      <c r="D269" s="60">
        <v>25</v>
      </c>
      <c r="E269" s="60" t="str">
        <f>tbl_performance[[#This Row],[employee_id]]&amp;"-"&amp;TEXT(tbl_performance[[#This Row],[month]],"mm")</f>
        <v>EMP1024-06</v>
      </c>
      <c r="F269" s="60">
        <f>COUNTIF(tbl_performance[employee_month_key],tbl_performance[[#This Row],[employee_month_key]])</f>
        <v>1</v>
      </c>
      <c r="G269" s="61">
        <f>tbl_performance[[#This Row],[achieved]]/tbl_performance[[#This Row],[target]]</f>
        <v>1.0416666666666667</v>
      </c>
      <c r="H269" s="60" t="str" cm="1">
        <f t="array" ref="H269">_xlfn.IFS(tbl_performance[[#This Row],[performance_pct]]&gt;=1.1,"Excellent",tbl_performance[[#This Row],[performance_pct]]&gt;=1,"Good",tbl_performance[[#This Row],[performance_pct]]&gt;=0.85,"Average",TRUE,"Poor")</f>
        <v>Good</v>
      </c>
    </row>
    <row r="270" spans="1:8" ht="19.8" x14ac:dyDescent="0.65">
      <c r="A270" s="58" t="s">
        <v>76</v>
      </c>
      <c r="B270" s="59">
        <v>45839</v>
      </c>
      <c r="C270" s="60">
        <v>25</v>
      </c>
      <c r="D270" s="60">
        <v>26</v>
      </c>
      <c r="E270" s="60" t="str">
        <f>tbl_performance[[#This Row],[employee_id]]&amp;"-"&amp;TEXT(tbl_performance[[#This Row],[month]],"mm")</f>
        <v>EMP1024-07</v>
      </c>
      <c r="F270" s="60">
        <f>COUNTIF(tbl_performance[employee_month_key],tbl_performance[[#This Row],[employee_month_key]])</f>
        <v>1</v>
      </c>
      <c r="G270" s="61">
        <f>tbl_performance[[#This Row],[achieved]]/tbl_performance[[#This Row],[target]]</f>
        <v>1.04</v>
      </c>
      <c r="H270" s="60" t="str" cm="1">
        <f t="array" ref="H270">_xlfn.IFS(tbl_performance[[#This Row],[performance_pct]]&gt;=1.1,"Excellent",tbl_performance[[#This Row],[performance_pct]]&gt;=1,"Good",tbl_performance[[#This Row],[performance_pct]]&gt;=0.85,"Average",TRUE,"Poor")</f>
        <v>Good</v>
      </c>
    </row>
    <row r="271" spans="1:8" ht="19.8" x14ac:dyDescent="0.65">
      <c r="A271" s="58" t="s">
        <v>76</v>
      </c>
      <c r="B271" s="59">
        <v>45870</v>
      </c>
      <c r="C271" s="60">
        <v>24</v>
      </c>
      <c r="D271" s="60">
        <v>27</v>
      </c>
      <c r="E271" s="60" t="str">
        <f>tbl_performance[[#This Row],[employee_id]]&amp;"-"&amp;TEXT(tbl_performance[[#This Row],[month]],"mm")</f>
        <v>EMP1024-08</v>
      </c>
      <c r="F271" s="60">
        <f>COUNTIF(tbl_performance[employee_month_key],tbl_performance[[#This Row],[employee_month_key]])</f>
        <v>1</v>
      </c>
      <c r="G271" s="61">
        <f>tbl_performance[[#This Row],[achieved]]/tbl_performance[[#This Row],[target]]</f>
        <v>1.125</v>
      </c>
      <c r="H271" s="60" t="str" cm="1">
        <f t="array" ref="H27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272" spans="1:8" ht="19.8" x14ac:dyDescent="0.65">
      <c r="A272" s="58" t="s">
        <v>76</v>
      </c>
      <c r="B272" s="59">
        <v>45901</v>
      </c>
      <c r="C272" s="60">
        <v>25</v>
      </c>
      <c r="D272" s="60">
        <v>26</v>
      </c>
      <c r="E272" s="60" t="str">
        <f>tbl_performance[[#This Row],[employee_id]]&amp;"-"&amp;TEXT(tbl_performance[[#This Row],[month]],"mm")</f>
        <v>EMP1024-09</v>
      </c>
      <c r="F272" s="60">
        <f>COUNTIF(tbl_performance[employee_month_key],tbl_performance[[#This Row],[employee_month_key]])</f>
        <v>1</v>
      </c>
      <c r="G272" s="61">
        <f>tbl_performance[[#This Row],[achieved]]/tbl_performance[[#This Row],[target]]</f>
        <v>1.04</v>
      </c>
      <c r="H272" s="60" t="str" cm="1">
        <f t="array" ref="H272">_xlfn.IFS(tbl_performance[[#This Row],[performance_pct]]&gt;=1.1,"Excellent",tbl_performance[[#This Row],[performance_pct]]&gt;=1,"Good",tbl_performance[[#This Row],[performance_pct]]&gt;=0.85,"Average",TRUE,"Poor")</f>
        <v>Good</v>
      </c>
    </row>
    <row r="273" spans="1:8" ht="19.8" x14ac:dyDescent="0.65">
      <c r="A273" s="58" t="s">
        <v>76</v>
      </c>
      <c r="B273" s="59">
        <v>45931</v>
      </c>
      <c r="C273" s="60">
        <v>25</v>
      </c>
      <c r="D273" s="60">
        <v>26</v>
      </c>
      <c r="E273" s="60" t="str">
        <f>tbl_performance[[#This Row],[employee_id]]&amp;"-"&amp;TEXT(tbl_performance[[#This Row],[month]],"mm")</f>
        <v>EMP1024-10</v>
      </c>
      <c r="F273" s="60">
        <f>COUNTIF(tbl_performance[employee_month_key],tbl_performance[[#This Row],[employee_month_key]])</f>
        <v>1</v>
      </c>
      <c r="G273" s="61">
        <f>tbl_performance[[#This Row],[achieved]]/tbl_performance[[#This Row],[target]]</f>
        <v>1.04</v>
      </c>
      <c r="H273" s="60" t="str" cm="1">
        <f t="array" ref="H273">_xlfn.IFS(tbl_performance[[#This Row],[performance_pct]]&gt;=1.1,"Excellent",tbl_performance[[#This Row],[performance_pct]]&gt;=1,"Good",tbl_performance[[#This Row],[performance_pct]]&gt;=0.85,"Average",TRUE,"Poor")</f>
        <v>Good</v>
      </c>
    </row>
    <row r="274" spans="1:8" ht="19.8" x14ac:dyDescent="0.65">
      <c r="A274" s="58" t="s">
        <v>76</v>
      </c>
      <c r="B274" s="59">
        <v>45962</v>
      </c>
      <c r="C274" s="60">
        <v>25</v>
      </c>
      <c r="D274" s="60">
        <v>25</v>
      </c>
      <c r="E274" s="60" t="str">
        <f>tbl_performance[[#This Row],[employee_id]]&amp;"-"&amp;TEXT(tbl_performance[[#This Row],[month]],"mm")</f>
        <v>EMP1024-11</v>
      </c>
      <c r="F274" s="60">
        <f>COUNTIF(tbl_performance[employee_month_key],tbl_performance[[#This Row],[employee_month_key]])</f>
        <v>1</v>
      </c>
      <c r="G274" s="61">
        <f>tbl_performance[[#This Row],[achieved]]/tbl_performance[[#This Row],[target]]</f>
        <v>1</v>
      </c>
      <c r="H274" s="60" t="str" cm="1">
        <f t="array" ref="H274">_xlfn.IFS(tbl_performance[[#This Row],[performance_pct]]&gt;=1.1,"Excellent",tbl_performance[[#This Row],[performance_pct]]&gt;=1,"Good",tbl_performance[[#This Row],[performance_pct]]&gt;=0.85,"Average",TRUE,"Poor")</f>
        <v>Good</v>
      </c>
    </row>
    <row r="275" spans="1:8" ht="19.8" x14ac:dyDescent="0.65">
      <c r="A275" s="58" t="s">
        <v>76</v>
      </c>
      <c r="B275" s="59">
        <v>45992</v>
      </c>
      <c r="C275" s="60">
        <v>21</v>
      </c>
      <c r="D275" s="60">
        <v>22</v>
      </c>
      <c r="E275" s="60" t="str">
        <f>tbl_performance[[#This Row],[employee_id]]&amp;"-"&amp;TEXT(tbl_performance[[#This Row],[month]],"mm")</f>
        <v>EMP1024-12</v>
      </c>
      <c r="F275" s="60">
        <f>COUNTIF(tbl_performance[employee_month_key],tbl_performance[[#This Row],[employee_month_key]])</f>
        <v>1</v>
      </c>
      <c r="G275" s="61">
        <f>tbl_performance[[#This Row],[achieved]]/tbl_performance[[#This Row],[target]]</f>
        <v>1.0476190476190477</v>
      </c>
      <c r="H275" s="60" t="str" cm="1">
        <f t="array" ref="H275">_xlfn.IFS(tbl_performance[[#This Row],[performance_pct]]&gt;=1.1,"Excellent",tbl_performance[[#This Row],[performance_pct]]&gt;=1,"Good",tbl_performance[[#This Row],[performance_pct]]&gt;=0.85,"Average",TRUE,"Poor")</f>
        <v>Good</v>
      </c>
    </row>
    <row r="276" spans="1:8" ht="19.8" x14ac:dyDescent="0.65">
      <c r="A276" s="58" t="s">
        <v>78</v>
      </c>
      <c r="B276" s="59">
        <v>45658</v>
      </c>
      <c r="C276" s="60">
        <v>14</v>
      </c>
      <c r="D276" s="60">
        <v>14</v>
      </c>
      <c r="E276" s="60" t="str">
        <f>tbl_performance[[#This Row],[employee_id]]&amp;"-"&amp;TEXT(tbl_performance[[#This Row],[month]],"mm")</f>
        <v>EMP1025-01</v>
      </c>
      <c r="F276" s="60">
        <f>COUNTIF(tbl_performance[employee_month_key],tbl_performance[[#This Row],[employee_month_key]])</f>
        <v>1</v>
      </c>
      <c r="G276" s="61">
        <f>tbl_performance[[#This Row],[achieved]]/tbl_performance[[#This Row],[target]]</f>
        <v>1</v>
      </c>
      <c r="H276" s="60" t="str" cm="1">
        <f t="array" ref="H276">_xlfn.IFS(tbl_performance[[#This Row],[performance_pct]]&gt;=1.1,"Excellent",tbl_performance[[#This Row],[performance_pct]]&gt;=1,"Good",tbl_performance[[#This Row],[performance_pct]]&gt;=0.85,"Average",TRUE,"Poor")</f>
        <v>Good</v>
      </c>
    </row>
    <row r="277" spans="1:8" ht="19.8" x14ac:dyDescent="0.65">
      <c r="A277" s="58" t="s">
        <v>78</v>
      </c>
      <c r="B277" s="59">
        <v>45689</v>
      </c>
      <c r="C277" s="60">
        <v>13</v>
      </c>
      <c r="D277" s="60">
        <v>12</v>
      </c>
      <c r="E277" s="60" t="str">
        <f>tbl_performance[[#This Row],[employee_id]]&amp;"-"&amp;TEXT(tbl_performance[[#This Row],[month]],"mm")</f>
        <v>EMP1025-02</v>
      </c>
      <c r="F277" s="60">
        <f>COUNTIF(tbl_performance[employee_month_key],tbl_performance[[#This Row],[employee_month_key]])</f>
        <v>1</v>
      </c>
      <c r="G277" s="61">
        <f>tbl_performance[[#This Row],[achieved]]/tbl_performance[[#This Row],[target]]</f>
        <v>0.92307692307692313</v>
      </c>
      <c r="H277" s="60" t="str" cm="1">
        <f t="array" ref="H27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78" spans="1:8" ht="19.8" x14ac:dyDescent="0.65">
      <c r="A278" s="58" t="s">
        <v>78</v>
      </c>
      <c r="B278" s="59">
        <v>45717</v>
      </c>
      <c r="C278" s="60">
        <v>15</v>
      </c>
      <c r="D278" s="60">
        <v>14</v>
      </c>
      <c r="E278" s="60" t="str">
        <f>tbl_performance[[#This Row],[employee_id]]&amp;"-"&amp;TEXT(tbl_performance[[#This Row],[month]],"mm")</f>
        <v>EMP1025-03</v>
      </c>
      <c r="F278" s="60">
        <f>COUNTIF(tbl_performance[employee_month_key],tbl_performance[[#This Row],[employee_month_key]])</f>
        <v>1</v>
      </c>
      <c r="G278" s="61">
        <f>tbl_performance[[#This Row],[achieved]]/tbl_performance[[#This Row],[target]]</f>
        <v>0.93333333333333335</v>
      </c>
      <c r="H278" s="60" t="str" cm="1">
        <f t="array" ref="H27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79" spans="1:8" ht="19.8" x14ac:dyDescent="0.65">
      <c r="A279" s="58" t="s">
        <v>78</v>
      </c>
      <c r="B279" s="59">
        <v>45748</v>
      </c>
      <c r="C279" s="60">
        <v>14</v>
      </c>
      <c r="D279" s="60">
        <v>14</v>
      </c>
      <c r="E279" s="60" t="str">
        <f>tbl_performance[[#This Row],[employee_id]]&amp;"-"&amp;TEXT(tbl_performance[[#This Row],[month]],"mm")</f>
        <v>EMP1025-04</v>
      </c>
      <c r="F279" s="60">
        <f>COUNTIF(tbl_performance[employee_month_key],tbl_performance[[#This Row],[employee_month_key]])</f>
        <v>1</v>
      </c>
      <c r="G279" s="61">
        <f>tbl_performance[[#This Row],[achieved]]/tbl_performance[[#This Row],[target]]</f>
        <v>1</v>
      </c>
      <c r="H279" s="60" t="str" cm="1">
        <f t="array" ref="H279">_xlfn.IFS(tbl_performance[[#This Row],[performance_pct]]&gt;=1.1,"Excellent",tbl_performance[[#This Row],[performance_pct]]&gt;=1,"Good",tbl_performance[[#This Row],[performance_pct]]&gt;=0.85,"Average",TRUE,"Poor")</f>
        <v>Good</v>
      </c>
    </row>
    <row r="280" spans="1:8" ht="19.8" x14ac:dyDescent="0.65">
      <c r="A280" s="58" t="s">
        <v>78</v>
      </c>
      <c r="B280" s="59">
        <v>45778</v>
      </c>
      <c r="C280" s="60">
        <v>14</v>
      </c>
      <c r="D280" s="60">
        <v>14</v>
      </c>
      <c r="E280" s="60" t="str">
        <f>tbl_performance[[#This Row],[employee_id]]&amp;"-"&amp;TEXT(tbl_performance[[#This Row],[month]],"mm")</f>
        <v>EMP1025-05</v>
      </c>
      <c r="F280" s="60">
        <f>COUNTIF(tbl_performance[employee_month_key],tbl_performance[[#This Row],[employee_month_key]])</f>
        <v>1</v>
      </c>
      <c r="G280" s="61">
        <f>tbl_performance[[#This Row],[achieved]]/tbl_performance[[#This Row],[target]]</f>
        <v>1</v>
      </c>
      <c r="H280" s="60" t="str" cm="1">
        <f t="array" ref="H280">_xlfn.IFS(tbl_performance[[#This Row],[performance_pct]]&gt;=1.1,"Excellent",tbl_performance[[#This Row],[performance_pct]]&gt;=1,"Good",tbl_performance[[#This Row],[performance_pct]]&gt;=0.85,"Average",TRUE,"Poor")</f>
        <v>Good</v>
      </c>
    </row>
    <row r="281" spans="1:8" ht="19.8" x14ac:dyDescent="0.65">
      <c r="A281" s="58" t="s">
        <v>78</v>
      </c>
      <c r="B281" s="59">
        <v>45809</v>
      </c>
      <c r="C281" s="60">
        <v>14</v>
      </c>
      <c r="D281" s="60">
        <v>13</v>
      </c>
      <c r="E281" s="60" t="str">
        <f>tbl_performance[[#This Row],[employee_id]]&amp;"-"&amp;TEXT(tbl_performance[[#This Row],[month]],"mm")</f>
        <v>EMP1025-06</v>
      </c>
      <c r="F281" s="60">
        <f>COUNTIF(tbl_performance[employee_month_key],tbl_performance[[#This Row],[employee_month_key]])</f>
        <v>1</v>
      </c>
      <c r="G281" s="61">
        <f>tbl_performance[[#This Row],[achieved]]/tbl_performance[[#This Row],[target]]</f>
        <v>0.9285714285714286</v>
      </c>
      <c r="H281" s="60" t="str" cm="1">
        <f t="array" ref="H28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82" spans="1:8" ht="19.8" x14ac:dyDescent="0.65">
      <c r="A282" s="58" t="s">
        <v>78</v>
      </c>
      <c r="B282" s="59">
        <v>45839</v>
      </c>
      <c r="C282" s="60">
        <v>14</v>
      </c>
      <c r="D282" s="60">
        <v>14</v>
      </c>
      <c r="E282" s="60" t="str">
        <f>tbl_performance[[#This Row],[employee_id]]&amp;"-"&amp;TEXT(tbl_performance[[#This Row],[month]],"mm")</f>
        <v>EMP1025-07</v>
      </c>
      <c r="F282" s="60">
        <f>COUNTIF(tbl_performance[employee_month_key],tbl_performance[[#This Row],[employee_month_key]])</f>
        <v>1</v>
      </c>
      <c r="G282" s="61">
        <f>tbl_performance[[#This Row],[achieved]]/tbl_performance[[#This Row],[target]]</f>
        <v>1</v>
      </c>
      <c r="H282" s="60" t="str" cm="1">
        <f t="array" ref="H282">_xlfn.IFS(tbl_performance[[#This Row],[performance_pct]]&gt;=1.1,"Excellent",tbl_performance[[#This Row],[performance_pct]]&gt;=1,"Good",tbl_performance[[#This Row],[performance_pct]]&gt;=0.85,"Average",TRUE,"Poor")</f>
        <v>Good</v>
      </c>
    </row>
    <row r="283" spans="1:8" ht="19.8" x14ac:dyDescent="0.65">
      <c r="A283" s="58" t="s">
        <v>78</v>
      </c>
      <c r="B283" s="59">
        <v>45870</v>
      </c>
      <c r="C283" s="60">
        <v>14</v>
      </c>
      <c r="D283" s="60">
        <v>13</v>
      </c>
      <c r="E283" s="60" t="str">
        <f>tbl_performance[[#This Row],[employee_id]]&amp;"-"&amp;TEXT(tbl_performance[[#This Row],[month]],"mm")</f>
        <v>EMP1025-08</v>
      </c>
      <c r="F283" s="60">
        <f>COUNTIF(tbl_performance[employee_month_key],tbl_performance[[#This Row],[employee_month_key]])</f>
        <v>1</v>
      </c>
      <c r="G283" s="61">
        <f>tbl_performance[[#This Row],[achieved]]/tbl_performance[[#This Row],[target]]</f>
        <v>0.9285714285714286</v>
      </c>
      <c r="H283" s="60" t="str" cm="1">
        <f t="array" ref="H28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84" spans="1:8" ht="19.8" x14ac:dyDescent="0.65">
      <c r="A284" s="58" t="s">
        <v>78</v>
      </c>
      <c r="B284" s="59">
        <v>45901</v>
      </c>
      <c r="C284" s="60">
        <v>14</v>
      </c>
      <c r="D284" s="60">
        <v>14</v>
      </c>
      <c r="E284" s="60" t="str">
        <f>tbl_performance[[#This Row],[employee_id]]&amp;"-"&amp;TEXT(tbl_performance[[#This Row],[month]],"mm")</f>
        <v>EMP1025-09</v>
      </c>
      <c r="F284" s="60">
        <f>COUNTIF(tbl_performance[employee_month_key],tbl_performance[[#This Row],[employee_month_key]])</f>
        <v>1</v>
      </c>
      <c r="G284" s="61">
        <f>tbl_performance[[#This Row],[achieved]]/tbl_performance[[#This Row],[target]]</f>
        <v>1</v>
      </c>
      <c r="H284" s="60" t="str" cm="1">
        <f t="array" ref="H284">_xlfn.IFS(tbl_performance[[#This Row],[performance_pct]]&gt;=1.1,"Excellent",tbl_performance[[#This Row],[performance_pct]]&gt;=1,"Good",tbl_performance[[#This Row],[performance_pct]]&gt;=0.85,"Average",TRUE,"Poor")</f>
        <v>Good</v>
      </c>
    </row>
    <row r="285" spans="1:8" ht="19.8" x14ac:dyDescent="0.65">
      <c r="A285" s="58" t="s">
        <v>78</v>
      </c>
      <c r="B285" s="59">
        <v>45931</v>
      </c>
      <c r="C285" s="60">
        <v>15</v>
      </c>
      <c r="D285" s="60">
        <v>15</v>
      </c>
      <c r="E285" s="60" t="str">
        <f>tbl_performance[[#This Row],[employee_id]]&amp;"-"&amp;TEXT(tbl_performance[[#This Row],[month]],"mm")</f>
        <v>EMP1025-10</v>
      </c>
      <c r="F285" s="60">
        <f>COUNTIF(tbl_performance[employee_month_key],tbl_performance[[#This Row],[employee_month_key]])</f>
        <v>1</v>
      </c>
      <c r="G285" s="61">
        <f>tbl_performance[[#This Row],[achieved]]/tbl_performance[[#This Row],[target]]</f>
        <v>1</v>
      </c>
      <c r="H285" s="60" t="str" cm="1">
        <f t="array" ref="H285">_xlfn.IFS(tbl_performance[[#This Row],[performance_pct]]&gt;=1.1,"Excellent",tbl_performance[[#This Row],[performance_pct]]&gt;=1,"Good",tbl_performance[[#This Row],[performance_pct]]&gt;=0.85,"Average",TRUE,"Poor")</f>
        <v>Good</v>
      </c>
    </row>
    <row r="286" spans="1:8" ht="19.8" x14ac:dyDescent="0.65">
      <c r="A286" s="58" t="s">
        <v>78</v>
      </c>
      <c r="B286" s="59">
        <v>45962</v>
      </c>
      <c r="C286" s="60">
        <v>14</v>
      </c>
      <c r="D286" s="60">
        <v>14</v>
      </c>
      <c r="E286" s="60" t="str">
        <f>tbl_performance[[#This Row],[employee_id]]&amp;"-"&amp;TEXT(tbl_performance[[#This Row],[month]],"mm")</f>
        <v>EMP1025-11</v>
      </c>
      <c r="F286" s="60">
        <f>COUNTIF(tbl_performance[employee_month_key],tbl_performance[[#This Row],[employee_month_key]])</f>
        <v>1</v>
      </c>
      <c r="G286" s="61">
        <f>tbl_performance[[#This Row],[achieved]]/tbl_performance[[#This Row],[target]]</f>
        <v>1</v>
      </c>
      <c r="H286" s="60" t="str" cm="1">
        <f t="array" ref="H286">_xlfn.IFS(tbl_performance[[#This Row],[performance_pct]]&gt;=1.1,"Excellent",tbl_performance[[#This Row],[performance_pct]]&gt;=1,"Good",tbl_performance[[#This Row],[performance_pct]]&gt;=0.85,"Average",TRUE,"Poor")</f>
        <v>Good</v>
      </c>
    </row>
    <row r="287" spans="1:8" ht="19.8" x14ac:dyDescent="0.65">
      <c r="A287" s="58" t="s">
        <v>78</v>
      </c>
      <c r="B287" s="59">
        <v>45992</v>
      </c>
      <c r="C287" s="60">
        <v>12</v>
      </c>
      <c r="D287" s="60">
        <v>12</v>
      </c>
      <c r="E287" s="60" t="str">
        <f>tbl_performance[[#This Row],[employee_id]]&amp;"-"&amp;TEXT(tbl_performance[[#This Row],[month]],"mm")</f>
        <v>EMP1025-12</v>
      </c>
      <c r="F287" s="60">
        <f>COUNTIF(tbl_performance[employee_month_key],tbl_performance[[#This Row],[employee_month_key]])</f>
        <v>1</v>
      </c>
      <c r="G287" s="61">
        <f>tbl_performance[[#This Row],[achieved]]/tbl_performance[[#This Row],[target]]</f>
        <v>1</v>
      </c>
      <c r="H287" s="60" t="str" cm="1">
        <f t="array" ref="H287">_xlfn.IFS(tbl_performance[[#This Row],[performance_pct]]&gt;=1.1,"Excellent",tbl_performance[[#This Row],[performance_pct]]&gt;=1,"Good",tbl_performance[[#This Row],[performance_pct]]&gt;=0.85,"Average",TRUE,"Poor")</f>
        <v>Good</v>
      </c>
    </row>
    <row r="288" spans="1:8" ht="19.8" x14ac:dyDescent="0.65">
      <c r="A288" s="58" t="s">
        <v>81</v>
      </c>
      <c r="B288" s="59">
        <v>45658</v>
      </c>
      <c r="C288" s="60">
        <v>296</v>
      </c>
      <c r="D288" s="60">
        <v>209</v>
      </c>
      <c r="E288" s="60" t="str">
        <f>tbl_performance[[#This Row],[employee_id]]&amp;"-"&amp;TEXT(tbl_performance[[#This Row],[month]],"mm")</f>
        <v>EMP1026-01</v>
      </c>
      <c r="F288" s="60">
        <f>COUNTIF(tbl_performance[employee_month_key],tbl_performance[[#This Row],[employee_month_key]])</f>
        <v>1</v>
      </c>
      <c r="G288" s="61">
        <f>tbl_performance[[#This Row],[achieved]]/tbl_performance[[#This Row],[target]]</f>
        <v>0.70608108108108103</v>
      </c>
      <c r="H288" s="60" t="str" cm="1">
        <f t="array" ref="H288">_xlfn.IFS(tbl_performance[[#This Row],[performance_pct]]&gt;=1.1,"Excellent",tbl_performance[[#This Row],[performance_pct]]&gt;=1,"Good",tbl_performance[[#This Row],[performance_pct]]&gt;=0.85,"Average",TRUE,"Poor")</f>
        <v>Poor</v>
      </c>
    </row>
    <row r="289" spans="1:8" ht="19.8" x14ac:dyDescent="0.65">
      <c r="A289" s="58" t="s">
        <v>81</v>
      </c>
      <c r="B289" s="59">
        <v>45689</v>
      </c>
      <c r="C289" s="60">
        <v>275</v>
      </c>
      <c r="D289" s="60">
        <v>241</v>
      </c>
      <c r="E289" s="60" t="str">
        <f>tbl_performance[[#This Row],[employee_id]]&amp;"-"&amp;TEXT(tbl_performance[[#This Row],[month]],"mm")</f>
        <v>EMP1026-02</v>
      </c>
      <c r="F289" s="60">
        <f>COUNTIF(tbl_performance[employee_month_key],tbl_performance[[#This Row],[employee_month_key]])</f>
        <v>1</v>
      </c>
      <c r="G289" s="61">
        <f>tbl_performance[[#This Row],[achieved]]/tbl_performance[[#This Row],[target]]</f>
        <v>0.87636363636363634</v>
      </c>
      <c r="H289" s="60" t="str" cm="1">
        <f t="array" ref="H2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90" spans="1:8" ht="19.8" x14ac:dyDescent="0.65">
      <c r="A290" s="58" t="s">
        <v>81</v>
      </c>
      <c r="B290" s="59">
        <v>45717</v>
      </c>
      <c r="C290" s="60">
        <v>302</v>
      </c>
      <c r="D290" s="60">
        <v>248</v>
      </c>
      <c r="E290" s="60" t="str">
        <f>tbl_performance[[#This Row],[employee_id]]&amp;"-"&amp;TEXT(tbl_performance[[#This Row],[month]],"mm")</f>
        <v>EMP1026-03</v>
      </c>
      <c r="F290" s="60">
        <f>COUNTIF(tbl_performance[employee_month_key],tbl_performance[[#This Row],[employee_month_key]])</f>
        <v>1</v>
      </c>
      <c r="G290" s="61">
        <f>tbl_performance[[#This Row],[achieved]]/tbl_performance[[#This Row],[target]]</f>
        <v>0.82119205298013243</v>
      </c>
      <c r="H290" s="60" t="str" cm="1">
        <f t="array" ref="H290">_xlfn.IFS(tbl_performance[[#This Row],[performance_pct]]&gt;=1.1,"Excellent",tbl_performance[[#This Row],[performance_pct]]&gt;=1,"Good",tbl_performance[[#This Row],[performance_pct]]&gt;=0.85,"Average",TRUE,"Poor")</f>
        <v>Poor</v>
      </c>
    </row>
    <row r="291" spans="1:8" ht="19.8" x14ac:dyDescent="0.65">
      <c r="A291" s="58" t="s">
        <v>81</v>
      </c>
      <c r="B291" s="59">
        <v>45748</v>
      </c>
      <c r="C291" s="60">
        <v>296</v>
      </c>
      <c r="D291" s="60">
        <v>224</v>
      </c>
      <c r="E291" s="60" t="str">
        <f>tbl_performance[[#This Row],[employee_id]]&amp;"-"&amp;TEXT(tbl_performance[[#This Row],[month]],"mm")</f>
        <v>EMP1026-04</v>
      </c>
      <c r="F291" s="60">
        <f>COUNTIF(tbl_performance[employee_month_key],tbl_performance[[#This Row],[employee_month_key]])</f>
        <v>1</v>
      </c>
      <c r="G291" s="61">
        <f>tbl_performance[[#This Row],[achieved]]/tbl_performance[[#This Row],[target]]</f>
        <v>0.7567567567567568</v>
      </c>
      <c r="H291" s="60" t="str" cm="1">
        <f t="array" ref="H291">_xlfn.IFS(tbl_performance[[#This Row],[performance_pct]]&gt;=1.1,"Excellent",tbl_performance[[#This Row],[performance_pct]]&gt;=1,"Good",tbl_performance[[#This Row],[performance_pct]]&gt;=0.85,"Average",TRUE,"Poor")</f>
        <v>Poor</v>
      </c>
    </row>
    <row r="292" spans="1:8" ht="19.8" x14ac:dyDescent="0.65">
      <c r="A292" s="58" t="s">
        <v>81</v>
      </c>
      <c r="B292" s="59">
        <v>45778</v>
      </c>
      <c r="C292" s="60">
        <v>296</v>
      </c>
      <c r="D292" s="60">
        <v>265</v>
      </c>
      <c r="E292" s="60" t="str">
        <f>tbl_performance[[#This Row],[employee_id]]&amp;"-"&amp;TEXT(tbl_performance[[#This Row],[month]],"mm")</f>
        <v>EMP1026-05</v>
      </c>
      <c r="F292" s="60">
        <f>COUNTIF(tbl_performance[employee_month_key],tbl_performance[[#This Row],[employee_month_key]])</f>
        <v>1</v>
      </c>
      <c r="G292" s="61">
        <f>tbl_performance[[#This Row],[achieved]]/tbl_performance[[#This Row],[target]]</f>
        <v>0.89527027027027029</v>
      </c>
      <c r="H292" s="60" t="str" cm="1">
        <f t="array" ref="H29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93" spans="1:8" ht="19.8" x14ac:dyDescent="0.65">
      <c r="A293" s="58" t="s">
        <v>81</v>
      </c>
      <c r="B293" s="59">
        <v>45809</v>
      </c>
      <c r="C293" s="60">
        <v>290</v>
      </c>
      <c r="D293" s="60">
        <v>235</v>
      </c>
      <c r="E293" s="60" t="str">
        <f>tbl_performance[[#This Row],[employee_id]]&amp;"-"&amp;TEXT(tbl_performance[[#This Row],[month]],"mm")</f>
        <v>EMP1026-06</v>
      </c>
      <c r="F293" s="60">
        <f>COUNTIF(tbl_performance[employee_month_key],tbl_performance[[#This Row],[employee_month_key]])</f>
        <v>1</v>
      </c>
      <c r="G293" s="61">
        <f>tbl_performance[[#This Row],[achieved]]/tbl_performance[[#This Row],[target]]</f>
        <v>0.81034482758620685</v>
      </c>
      <c r="H293" s="60" t="str" cm="1">
        <f t="array" ref="H293">_xlfn.IFS(tbl_performance[[#This Row],[performance_pct]]&gt;=1.1,"Excellent",tbl_performance[[#This Row],[performance_pct]]&gt;=1,"Good",tbl_performance[[#This Row],[performance_pct]]&gt;=0.85,"Average",TRUE,"Poor")</f>
        <v>Poor</v>
      </c>
    </row>
    <row r="294" spans="1:8" ht="19.8" x14ac:dyDescent="0.65">
      <c r="A294" s="58" t="s">
        <v>81</v>
      </c>
      <c r="B294" s="59">
        <v>45839</v>
      </c>
      <c r="C294" s="60">
        <v>296</v>
      </c>
      <c r="D294" s="60">
        <v>230</v>
      </c>
      <c r="E294" s="60" t="str">
        <f>tbl_performance[[#This Row],[employee_id]]&amp;"-"&amp;TEXT(tbl_performance[[#This Row],[month]],"mm")</f>
        <v>EMP1026-07</v>
      </c>
      <c r="F294" s="60">
        <f>COUNTIF(tbl_performance[employee_month_key],tbl_performance[[#This Row],[employee_month_key]])</f>
        <v>1</v>
      </c>
      <c r="G294" s="61">
        <f>tbl_performance[[#This Row],[achieved]]/tbl_performance[[#This Row],[target]]</f>
        <v>0.77702702702702697</v>
      </c>
      <c r="H294" s="60" t="str" cm="1">
        <f t="array" ref="H294">_xlfn.IFS(tbl_performance[[#This Row],[performance_pct]]&gt;=1.1,"Excellent",tbl_performance[[#This Row],[performance_pct]]&gt;=1,"Good",tbl_performance[[#This Row],[performance_pct]]&gt;=0.85,"Average",TRUE,"Poor")</f>
        <v>Poor</v>
      </c>
    </row>
    <row r="295" spans="1:8" ht="19.8" x14ac:dyDescent="0.65">
      <c r="A295" s="58" t="s">
        <v>81</v>
      </c>
      <c r="B295" s="59">
        <v>45870</v>
      </c>
      <c r="C295" s="60">
        <v>287</v>
      </c>
      <c r="D295" s="60">
        <v>210</v>
      </c>
      <c r="E295" s="60" t="str">
        <f>tbl_performance[[#This Row],[employee_id]]&amp;"-"&amp;TEXT(tbl_performance[[#This Row],[month]],"mm")</f>
        <v>EMP1026-08</v>
      </c>
      <c r="F295" s="60">
        <f>COUNTIF(tbl_performance[employee_month_key],tbl_performance[[#This Row],[employee_month_key]])</f>
        <v>1</v>
      </c>
      <c r="G295" s="61">
        <f>tbl_performance[[#This Row],[achieved]]/tbl_performance[[#This Row],[target]]</f>
        <v>0.73170731707317072</v>
      </c>
      <c r="H295" s="60" t="str" cm="1">
        <f t="array" ref="H295">_xlfn.IFS(tbl_performance[[#This Row],[performance_pct]]&gt;=1.1,"Excellent",tbl_performance[[#This Row],[performance_pct]]&gt;=1,"Good",tbl_performance[[#This Row],[performance_pct]]&gt;=0.85,"Average",TRUE,"Poor")</f>
        <v>Poor</v>
      </c>
    </row>
    <row r="296" spans="1:8" ht="19.8" x14ac:dyDescent="0.65">
      <c r="A296" s="58" t="s">
        <v>81</v>
      </c>
      <c r="B296" s="59">
        <v>45901</v>
      </c>
      <c r="C296" s="60">
        <v>296</v>
      </c>
      <c r="D296" s="60">
        <v>276</v>
      </c>
      <c r="E296" s="60" t="str">
        <f>tbl_performance[[#This Row],[employee_id]]&amp;"-"&amp;TEXT(tbl_performance[[#This Row],[month]],"mm")</f>
        <v>EMP1026-09</v>
      </c>
      <c r="F296" s="60">
        <f>COUNTIF(tbl_performance[employee_month_key],tbl_performance[[#This Row],[employee_month_key]])</f>
        <v>1</v>
      </c>
      <c r="G296" s="61">
        <f>tbl_performance[[#This Row],[achieved]]/tbl_performance[[#This Row],[target]]</f>
        <v>0.93243243243243246</v>
      </c>
      <c r="H296" s="60" t="str" cm="1">
        <f t="array" ref="H29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97" spans="1:8" ht="19.8" x14ac:dyDescent="0.65">
      <c r="A297" s="58" t="s">
        <v>81</v>
      </c>
      <c r="B297" s="59">
        <v>45931</v>
      </c>
      <c r="C297" s="60">
        <v>302</v>
      </c>
      <c r="D297" s="60">
        <v>276</v>
      </c>
      <c r="E297" s="60" t="str">
        <f>tbl_performance[[#This Row],[employee_id]]&amp;"-"&amp;TEXT(tbl_performance[[#This Row],[month]],"mm")</f>
        <v>EMP1026-10</v>
      </c>
      <c r="F297" s="60">
        <f>COUNTIF(tbl_performance[employee_month_key],tbl_performance[[#This Row],[employee_month_key]])</f>
        <v>1</v>
      </c>
      <c r="G297" s="61">
        <f>tbl_performance[[#This Row],[achieved]]/tbl_performance[[#This Row],[target]]</f>
        <v>0.91390728476821192</v>
      </c>
      <c r="H297" s="60" t="str" cm="1">
        <f t="array" ref="H29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298" spans="1:8" ht="19.8" x14ac:dyDescent="0.65">
      <c r="A298" s="58" t="s">
        <v>81</v>
      </c>
      <c r="B298" s="59">
        <v>45962</v>
      </c>
      <c r="C298" s="60">
        <v>296</v>
      </c>
      <c r="D298" s="60">
        <v>250</v>
      </c>
      <c r="E298" s="60" t="str">
        <f>tbl_performance[[#This Row],[employee_id]]&amp;"-"&amp;TEXT(tbl_performance[[#This Row],[month]],"mm")</f>
        <v>EMP1026-11</v>
      </c>
      <c r="F298" s="60">
        <f>COUNTIF(tbl_performance[employee_month_key],tbl_performance[[#This Row],[employee_month_key]])</f>
        <v>1</v>
      </c>
      <c r="G298" s="61">
        <f>tbl_performance[[#This Row],[achieved]]/tbl_performance[[#This Row],[target]]</f>
        <v>0.84459459459459463</v>
      </c>
      <c r="H298" s="60" t="str" cm="1">
        <f t="array" ref="H298">_xlfn.IFS(tbl_performance[[#This Row],[performance_pct]]&gt;=1.1,"Excellent",tbl_performance[[#This Row],[performance_pct]]&gt;=1,"Good",tbl_performance[[#This Row],[performance_pct]]&gt;=0.85,"Average",TRUE,"Poor")</f>
        <v>Poor</v>
      </c>
    </row>
    <row r="299" spans="1:8" ht="19.8" x14ac:dyDescent="0.65">
      <c r="A299" s="58" t="s">
        <v>81</v>
      </c>
      <c r="B299" s="59">
        <v>45992</v>
      </c>
      <c r="C299" s="60">
        <v>251</v>
      </c>
      <c r="D299" s="60">
        <v>228</v>
      </c>
      <c r="E299" s="60" t="str">
        <f>tbl_performance[[#This Row],[employee_id]]&amp;"-"&amp;TEXT(tbl_performance[[#This Row],[month]],"mm")</f>
        <v>EMP1026-12</v>
      </c>
      <c r="F299" s="60">
        <f>COUNTIF(tbl_performance[employee_month_key],tbl_performance[[#This Row],[employee_month_key]])</f>
        <v>1</v>
      </c>
      <c r="G299" s="61">
        <f>tbl_performance[[#This Row],[achieved]]/tbl_performance[[#This Row],[target]]</f>
        <v>0.9083665338645418</v>
      </c>
      <c r="H299" s="60" t="str" cm="1">
        <f t="array" ref="H29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00" spans="1:8" ht="19.8" x14ac:dyDescent="0.65">
      <c r="A300" s="58" t="s">
        <v>84</v>
      </c>
      <c r="B300" s="59">
        <v>45748</v>
      </c>
      <c r="C300" s="60">
        <v>93</v>
      </c>
      <c r="D300" s="60">
        <v>102</v>
      </c>
      <c r="E300" s="60" t="str">
        <f>tbl_performance[[#This Row],[employee_id]]&amp;"-"&amp;TEXT(tbl_performance[[#This Row],[month]],"mm")</f>
        <v>EMP1027-04</v>
      </c>
      <c r="F300" s="60">
        <f>COUNTIF(tbl_performance[employee_month_key],tbl_performance[[#This Row],[employee_month_key]])</f>
        <v>1</v>
      </c>
      <c r="G300" s="61">
        <f>tbl_performance[[#This Row],[achieved]]/tbl_performance[[#This Row],[target]]</f>
        <v>1.096774193548387</v>
      </c>
      <c r="H300" s="60" t="str" cm="1">
        <f t="array" ref="H300">_xlfn.IFS(tbl_performance[[#This Row],[performance_pct]]&gt;=1.1,"Excellent",tbl_performance[[#This Row],[performance_pct]]&gt;=1,"Good",tbl_performance[[#This Row],[performance_pct]]&gt;=0.85,"Average",TRUE,"Poor")</f>
        <v>Good</v>
      </c>
    </row>
    <row r="301" spans="1:8" ht="19.8" x14ac:dyDescent="0.65">
      <c r="A301" s="58" t="s">
        <v>84</v>
      </c>
      <c r="B301" s="59">
        <v>45778</v>
      </c>
      <c r="C301" s="60">
        <v>93</v>
      </c>
      <c r="D301" s="60">
        <v>87</v>
      </c>
      <c r="E301" s="60" t="str">
        <f>tbl_performance[[#This Row],[employee_id]]&amp;"-"&amp;TEXT(tbl_performance[[#This Row],[month]],"mm")</f>
        <v>EMP1027-05</v>
      </c>
      <c r="F301" s="60">
        <f>COUNTIF(tbl_performance[employee_month_key],tbl_performance[[#This Row],[employee_month_key]])</f>
        <v>1</v>
      </c>
      <c r="G301" s="61">
        <f>tbl_performance[[#This Row],[achieved]]/tbl_performance[[#This Row],[target]]</f>
        <v>0.93548387096774188</v>
      </c>
      <c r="H301" s="60" t="str" cm="1">
        <f t="array" ref="H30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02" spans="1:8" ht="19.8" x14ac:dyDescent="0.65">
      <c r="A302" s="58" t="s">
        <v>84</v>
      </c>
      <c r="B302" s="59">
        <v>45809</v>
      </c>
      <c r="C302" s="60">
        <v>91</v>
      </c>
      <c r="D302" s="60">
        <v>100</v>
      </c>
      <c r="E302" s="60" t="str">
        <f>tbl_performance[[#This Row],[employee_id]]&amp;"-"&amp;TEXT(tbl_performance[[#This Row],[month]],"mm")</f>
        <v>EMP1027-06</v>
      </c>
      <c r="F302" s="60">
        <f>COUNTIF(tbl_performance[employee_month_key],tbl_performance[[#This Row],[employee_month_key]])</f>
        <v>1</v>
      </c>
      <c r="G302" s="61">
        <f>tbl_performance[[#This Row],[achieved]]/tbl_performance[[#This Row],[target]]</f>
        <v>1.098901098901099</v>
      </c>
      <c r="H302" s="60" t="str" cm="1">
        <f t="array" ref="H302">_xlfn.IFS(tbl_performance[[#This Row],[performance_pct]]&gt;=1.1,"Excellent",tbl_performance[[#This Row],[performance_pct]]&gt;=1,"Good",tbl_performance[[#This Row],[performance_pct]]&gt;=0.85,"Average",TRUE,"Poor")</f>
        <v>Good</v>
      </c>
    </row>
    <row r="303" spans="1:8" ht="19.8" x14ac:dyDescent="0.65">
      <c r="A303" s="58" t="s">
        <v>84</v>
      </c>
      <c r="B303" s="59">
        <v>45839</v>
      </c>
      <c r="C303" s="60">
        <v>93</v>
      </c>
      <c r="D303" s="60">
        <v>101</v>
      </c>
      <c r="E303" s="60" t="str">
        <f>tbl_performance[[#This Row],[employee_id]]&amp;"-"&amp;TEXT(tbl_performance[[#This Row],[month]],"mm")</f>
        <v>EMP1027-07</v>
      </c>
      <c r="F303" s="60">
        <f>COUNTIF(tbl_performance[employee_month_key],tbl_performance[[#This Row],[employee_month_key]])</f>
        <v>1</v>
      </c>
      <c r="G303" s="61">
        <f>tbl_performance[[#This Row],[achieved]]/tbl_performance[[#This Row],[target]]</f>
        <v>1.086021505376344</v>
      </c>
      <c r="H303" s="60" t="str" cm="1">
        <f t="array" ref="H303">_xlfn.IFS(tbl_performance[[#This Row],[performance_pct]]&gt;=1.1,"Excellent",tbl_performance[[#This Row],[performance_pct]]&gt;=1,"Good",tbl_performance[[#This Row],[performance_pct]]&gt;=0.85,"Average",TRUE,"Poor")</f>
        <v>Good</v>
      </c>
    </row>
    <row r="304" spans="1:8" ht="19.8" x14ac:dyDescent="0.65">
      <c r="A304" s="58" t="s">
        <v>84</v>
      </c>
      <c r="B304" s="59">
        <v>45870</v>
      </c>
      <c r="C304" s="60">
        <v>90</v>
      </c>
      <c r="D304" s="60">
        <v>80</v>
      </c>
      <c r="E304" s="60" t="str">
        <f>tbl_performance[[#This Row],[employee_id]]&amp;"-"&amp;TEXT(tbl_performance[[#This Row],[month]],"mm")</f>
        <v>EMP1027-08</v>
      </c>
      <c r="F304" s="60">
        <f>COUNTIF(tbl_performance[employee_month_key],tbl_performance[[#This Row],[employee_month_key]])</f>
        <v>1</v>
      </c>
      <c r="G304" s="61">
        <f>tbl_performance[[#This Row],[achieved]]/tbl_performance[[#This Row],[target]]</f>
        <v>0.88888888888888884</v>
      </c>
      <c r="H304" s="60" t="str" cm="1">
        <f t="array" ref="H3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05" spans="1:8" ht="19.8" x14ac:dyDescent="0.65">
      <c r="A305" s="58" t="s">
        <v>84</v>
      </c>
      <c r="B305" s="59">
        <v>45901</v>
      </c>
      <c r="C305" s="60">
        <v>93</v>
      </c>
      <c r="D305" s="60">
        <v>86</v>
      </c>
      <c r="E305" s="60" t="str">
        <f>tbl_performance[[#This Row],[employee_id]]&amp;"-"&amp;TEXT(tbl_performance[[#This Row],[month]],"mm")</f>
        <v>EMP1027-09</v>
      </c>
      <c r="F305" s="60">
        <f>COUNTIF(tbl_performance[employee_month_key],tbl_performance[[#This Row],[employee_month_key]])</f>
        <v>1</v>
      </c>
      <c r="G305" s="61">
        <f>tbl_performance[[#This Row],[achieved]]/tbl_performance[[#This Row],[target]]</f>
        <v>0.92473118279569888</v>
      </c>
      <c r="H305" s="60" t="str" cm="1">
        <f t="array" ref="H3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06" spans="1:8" ht="19.8" x14ac:dyDescent="0.65">
      <c r="A306" s="58" t="s">
        <v>84</v>
      </c>
      <c r="B306" s="59">
        <v>45931</v>
      </c>
      <c r="C306" s="60">
        <v>95</v>
      </c>
      <c r="D306" s="60">
        <v>82</v>
      </c>
      <c r="E306" s="60" t="str">
        <f>tbl_performance[[#This Row],[employee_id]]&amp;"-"&amp;TEXT(tbl_performance[[#This Row],[month]],"mm")</f>
        <v>EMP1027-10</v>
      </c>
      <c r="F306" s="60">
        <f>COUNTIF(tbl_performance[employee_month_key],tbl_performance[[#This Row],[employee_month_key]])</f>
        <v>1</v>
      </c>
      <c r="G306" s="61">
        <f>tbl_performance[[#This Row],[achieved]]/tbl_performance[[#This Row],[target]]</f>
        <v>0.86315789473684212</v>
      </c>
      <c r="H306" s="60" t="str" cm="1">
        <f t="array" ref="H30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07" spans="1:8" ht="19.8" x14ac:dyDescent="0.65">
      <c r="A307" s="58" t="s">
        <v>84</v>
      </c>
      <c r="B307" s="59">
        <v>45962</v>
      </c>
      <c r="C307" s="60">
        <v>93</v>
      </c>
      <c r="D307" s="60">
        <v>102</v>
      </c>
      <c r="E307" s="60" t="str">
        <f>tbl_performance[[#This Row],[employee_id]]&amp;"-"&amp;TEXT(tbl_performance[[#This Row],[month]],"mm")</f>
        <v>EMP1027-11</v>
      </c>
      <c r="F307" s="60">
        <f>COUNTIF(tbl_performance[employee_month_key],tbl_performance[[#This Row],[employee_month_key]])</f>
        <v>1</v>
      </c>
      <c r="G307" s="61">
        <f>tbl_performance[[#This Row],[achieved]]/tbl_performance[[#This Row],[target]]</f>
        <v>1.096774193548387</v>
      </c>
      <c r="H307" s="60" t="str" cm="1">
        <f t="array" ref="H307">_xlfn.IFS(tbl_performance[[#This Row],[performance_pct]]&gt;=1.1,"Excellent",tbl_performance[[#This Row],[performance_pct]]&gt;=1,"Good",tbl_performance[[#This Row],[performance_pct]]&gt;=0.85,"Average",TRUE,"Poor")</f>
        <v>Good</v>
      </c>
    </row>
    <row r="308" spans="1:8" ht="19.8" x14ac:dyDescent="0.65">
      <c r="A308" s="58" t="s">
        <v>84</v>
      </c>
      <c r="B308" s="59">
        <v>45992</v>
      </c>
      <c r="C308" s="60">
        <v>79</v>
      </c>
      <c r="D308" s="60">
        <v>84</v>
      </c>
      <c r="E308" s="60" t="str">
        <f>tbl_performance[[#This Row],[employee_id]]&amp;"-"&amp;TEXT(tbl_performance[[#This Row],[month]],"mm")</f>
        <v>EMP1027-12</v>
      </c>
      <c r="F308" s="60">
        <f>COUNTIF(tbl_performance[employee_month_key],tbl_performance[[#This Row],[employee_month_key]])</f>
        <v>1</v>
      </c>
      <c r="G308" s="61">
        <f>tbl_performance[[#This Row],[achieved]]/tbl_performance[[#This Row],[target]]</f>
        <v>1.0632911392405062</v>
      </c>
      <c r="H308" s="60" t="str" cm="1">
        <f t="array" ref="H308">_xlfn.IFS(tbl_performance[[#This Row],[performance_pct]]&gt;=1.1,"Excellent",tbl_performance[[#This Row],[performance_pct]]&gt;=1,"Good",tbl_performance[[#This Row],[performance_pct]]&gt;=0.85,"Average",TRUE,"Poor")</f>
        <v>Good</v>
      </c>
    </row>
    <row r="309" spans="1:8" ht="19.8" x14ac:dyDescent="0.65">
      <c r="A309" s="58" t="s">
        <v>86</v>
      </c>
      <c r="B309" s="59">
        <v>45658</v>
      </c>
      <c r="C309" s="60">
        <v>63</v>
      </c>
      <c r="D309" s="60">
        <v>71</v>
      </c>
      <c r="E309" s="60" t="str">
        <f>tbl_performance[[#This Row],[employee_id]]&amp;"-"&amp;TEXT(tbl_performance[[#This Row],[month]],"mm")</f>
        <v>EMP1028-01</v>
      </c>
      <c r="F309" s="60">
        <f>COUNTIF(tbl_performance[employee_month_key],tbl_performance[[#This Row],[employee_month_key]])</f>
        <v>1</v>
      </c>
      <c r="G309" s="61">
        <f>tbl_performance[[#This Row],[achieved]]/tbl_performance[[#This Row],[target]]</f>
        <v>1.126984126984127</v>
      </c>
      <c r="H309" s="60" t="str" cm="1">
        <f t="array" ref="H30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10" spans="1:8" ht="19.8" x14ac:dyDescent="0.65">
      <c r="A310" s="58" t="s">
        <v>86</v>
      </c>
      <c r="B310" s="59">
        <v>45689</v>
      </c>
      <c r="C310" s="60">
        <v>58</v>
      </c>
      <c r="D310" s="60">
        <v>68</v>
      </c>
      <c r="E310" s="60" t="str">
        <f>tbl_performance[[#This Row],[employee_id]]&amp;"-"&amp;TEXT(tbl_performance[[#This Row],[month]],"mm")</f>
        <v>EMP1028-02</v>
      </c>
      <c r="F310" s="60">
        <f>COUNTIF(tbl_performance[employee_month_key],tbl_performance[[#This Row],[employee_month_key]])</f>
        <v>1</v>
      </c>
      <c r="G310" s="61">
        <f>tbl_performance[[#This Row],[achieved]]/tbl_performance[[#This Row],[target]]</f>
        <v>1.1724137931034482</v>
      </c>
      <c r="H310" s="60" t="str" cm="1">
        <f t="array" ref="H31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11" spans="1:8" ht="19.8" x14ac:dyDescent="0.65">
      <c r="A311" s="58" t="s">
        <v>86</v>
      </c>
      <c r="B311" s="59">
        <v>45717</v>
      </c>
      <c r="C311" s="60">
        <v>64</v>
      </c>
      <c r="D311" s="60">
        <v>66</v>
      </c>
      <c r="E311" s="60" t="str">
        <f>tbl_performance[[#This Row],[employee_id]]&amp;"-"&amp;TEXT(tbl_performance[[#This Row],[month]],"mm")</f>
        <v>EMP1028-03</v>
      </c>
      <c r="F311" s="60">
        <f>COUNTIF(tbl_performance[employee_month_key],tbl_performance[[#This Row],[employee_month_key]])</f>
        <v>1</v>
      </c>
      <c r="G311" s="61">
        <f>tbl_performance[[#This Row],[achieved]]/tbl_performance[[#This Row],[target]]</f>
        <v>1.03125</v>
      </c>
      <c r="H311" s="60" t="str" cm="1">
        <f t="array" ref="H311">_xlfn.IFS(tbl_performance[[#This Row],[performance_pct]]&gt;=1.1,"Excellent",tbl_performance[[#This Row],[performance_pct]]&gt;=1,"Good",tbl_performance[[#This Row],[performance_pct]]&gt;=0.85,"Average",TRUE,"Poor")</f>
        <v>Good</v>
      </c>
    </row>
    <row r="312" spans="1:8" ht="19.8" x14ac:dyDescent="0.65">
      <c r="A312" s="58" t="s">
        <v>86</v>
      </c>
      <c r="B312" s="59">
        <v>45748</v>
      </c>
      <c r="C312" s="60">
        <v>63</v>
      </c>
      <c r="D312" s="60">
        <v>68</v>
      </c>
      <c r="E312" s="60" t="str">
        <f>tbl_performance[[#This Row],[employee_id]]&amp;"-"&amp;TEXT(tbl_performance[[#This Row],[month]],"mm")</f>
        <v>EMP1028-04</v>
      </c>
      <c r="F312" s="60">
        <f>COUNTIF(tbl_performance[employee_month_key],tbl_performance[[#This Row],[employee_month_key]])</f>
        <v>1</v>
      </c>
      <c r="G312" s="61">
        <f>tbl_performance[[#This Row],[achieved]]/tbl_performance[[#This Row],[target]]</f>
        <v>1.0793650793650793</v>
      </c>
      <c r="H312" s="60" t="str" cm="1">
        <f t="array" ref="H312">_xlfn.IFS(tbl_performance[[#This Row],[performance_pct]]&gt;=1.1,"Excellent",tbl_performance[[#This Row],[performance_pct]]&gt;=1,"Good",tbl_performance[[#This Row],[performance_pct]]&gt;=0.85,"Average",TRUE,"Poor")</f>
        <v>Good</v>
      </c>
    </row>
    <row r="313" spans="1:8" ht="19.8" x14ac:dyDescent="0.65">
      <c r="A313" s="58" t="s">
        <v>86</v>
      </c>
      <c r="B313" s="59">
        <v>45778</v>
      </c>
      <c r="C313" s="60">
        <v>63</v>
      </c>
      <c r="D313" s="60">
        <v>71</v>
      </c>
      <c r="E313" s="60" t="str">
        <f>tbl_performance[[#This Row],[employee_id]]&amp;"-"&amp;TEXT(tbl_performance[[#This Row],[month]],"mm")</f>
        <v>EMP1028-05</v>
      </c>
      <c r="F313" s="60">
        <f>COUNTIF(tbl_performance[employee_month_key],tbl_performance[[#This Row],[employee_month_key]])</f>
        <v>1</v>
      </c>
      <c r="G313" s="61">
        <f>tbl_performance[[#This Row],[achieved]]/tbl_performance[[#This Row],[target]]</f>
        <v>1.126984126984127</v>
      </c>
      <c r="H313" s="60" t="str" cm="1">
        <f t="array" ref="H31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14" spans="1:8" ht="19.8" x14ac:dyDescent="0.65">
      <c r="A314" s="58" t="s">
        <v>86</v>
      </c>
      <c r="B314" s="59">
        <v>45809</v>
      </c>
      <c r="C314" s="60">
        <v>61</v>
      </c>
      <c r="D314" s="60">
        <v>67</v>
      </c>
      <c r="E314" s="60" t="str">
        <f>tbl_performance[[#This Row],[employee_id]]&amp;"-"&amp;TEXT(tbl_performance[[#This Row],[month]],"mm")</f>
        <v>EMP1028-06</v>
      </c>
      <c r="F314" s="60">
        <f>COUNTIF(tbl_performance[employee_month_key],tbl_performance[[#This Row],[employee_month_key]])</f>
        <v>1</v>
      </c>
      <c r="G314" s="61">
        <f>tbl_performance[[#This Row],[achieved]]/tbl_performance[[#This Row],[target]]</f>
        <v>1.098360655737705</v>
      </c>
      <c r="H314" s="60" t="str" cm="1">
        <f t="array" ref="H314">_xlfn.IFS(tbl_performance[[#This Row],[performance_pct]]&gt;=1.1,"Excellent",tbl_performance[[#This Row],[performance_pct]]&gt;=1,"Good",tbl_performance[[#This Row],[performance_pct]]&gt;=0.85,"Average",TRUE,"Poor")</f>
        <v>Good</v>
      </c>
    </row>
    <row r="315" spans="1:8" ht="19.8" x14ac:dyDescent="0.65">
      <c r="A315" s="58" t="s">
        <v>86</v>
      </c>
      <c r="B315" s="59">
        <v>45839</v>
      </c>
      <c r="C315" s="60">
        <v>63</v>
      </c>
      <c r="D315" s="60">
        <v>71</v>
      </c>
      <c r="E315" s="60" t="str">
        <f>tbl_performance[[#This Row],[employee_id]]&amp;"-"&amp;TEXT(tbl_performance[[#This Row],[month]],"mm")</f>
        <v>EMP1028-07</v>
      </c>
      <c r="F315" s="60">
        <f>COUNTIF(tbl_performance[employee_month_key],tbl_performance[[#This Row],[employee_month_key]])</f>
        <v>1</v>
      </c>
      <c r="G315" s="61">
        <f>tbl_performance[[#This Row],[achieved]]/tbl_performance[[#This Row],[target]]</f>
        <v>1.126984126984127</v>
      </c>
      <c r="H315" s="60" t="str" cm="1">
        <f t="array" ref="H31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16" spans="1:8" ht="19.8" x14ac:dyDescent="0.65">
      <c r="A316" s="58" t="s">
        <v>86</v>
      </c>
      <c r="B316" s="59">
        <v>45870</v>
      </c>
      <c r="C316" s="60">
        <v>61</v>
      </c>
      <c r="D316" s="60">
        <v>65</v>
      </c>
      <c r="E316" s="60" t="str">
        <f>tbl_performance[[#This Row],[employee_id]]&amp;"-"&amp;TEXT(tbl_performance[[#This Row],[month]],"mm")</f>
        <v>EMP1028-08</v>
      </c>
      <c r="F316" s="60">
        <f>COUNTIF(tbl_performance[employee_month_key],tbl_performance[[#This Row],[employee_month_key]])</f>
        <v>1</v>
      </c>
      <c r="G316" s="61">
        <f>tbl_performance[[#This Row],[achieved]]/tbl_performance[[#This Row],[target]]</f>
        <v>1.0655737704918034</v>
      </c>
      <c r="H316" s="60" t="str" cm="1">
        <f t="array" ref="H316">_xlfn.IFS(tbl_performance[[#This Row],[performance_pct]]&gt;=1.1,"Excellent",tbl_performance[[#This Row],[performance_pct]]&gt;=1,"Good",tbl_performance[[#This Row],[performance_pct]]&gt;=0.85,"Average",TRUE,"Poor")</f>
        <v>Good</v>
      </c>
    </row>
    <row r="317" spans="1:8" ht="19.8" x14ac:dyDescent="0.65">
      <c r="A317" s="58" t="s">
        <v>86</v>
      </c>
      <c r="B317" s="59">
        <v>45901</v>
      </c>
      <c r="C317" s="60">
        <v>63</v>
      </c>
      <c r="D317" s="60">
        <v>68</v>
      </c>
      <c r="E317" s="60" t="str">
        <f>tbl_performance[[#This Row],[employee_id]]&amp;"-"&amp;TEXT(tbl_performance[[#This Row],[month]],"mm")</f>
        <v>EMP1028-09</v>
      </c>
      <c r="F317" s="60">
        <f>COUNTIF(tbl_performance[employee_month_key],tbl_performance[[#This Row],[employee_month_key]])</f>
        <v>1</v>
      </c>
      <c r="G317" s="61">
        <f>tbl_performance[[#This Row],[achieved]]/tbl_performance[[#This Row],[target]]</f>
        <v>1.0793650793650793</v>
      </c>
      <c r="H317" s="60" t="str" cm="1">
        <f t="array" ref="H317">_xlfn.IFS(tbl_performance[[#This Row],[performance_pct]]&gt;=1.1,"Excellent",tbl_performance[[#This Row],[performance_pct]]&gt;=1,"Good",tbl_performance[[#This Row],[performance_pct]]&gt;=0.85,"Average",TRUE,"Poor")</f>
        <v>Good</v>
      </c>
    </row>
    <row r="318" spans="1:8" ht="19.8" x14ac:dyDescent="0.65">
      <c r="A318" s="58" t="s">
        <v>86</v>
      </c>
      <c r="B318" s="59">
        <v>45931</v>
      </c>
      <c r="C318" s="60">
        <v>64</v>
      </c>
      <c r="D318" s="60">
        <v>70</v>
      </c>
      <c r="E318" s="60" t="str">
        <f>tbl_performance[[#This Row],[employee_id]]&amp;"-"&amp;TEXT(tbl_performance[[#This Row],[month]],"mm")</f>
        <v>EMP1028-10</v>
      </c>
      <c r="F318" s="60">
        <f>COUNTIF(tbl_performance[employee_month_key],tbl_performance[[#This Row],[employee_month_key]])</f>
        <v>1</v>
      </c>
      <c r="G318" s="61">
        <f>tbl_performance[[#This Row],[achieved]]/tbl_performance[[#This Row],[target]]</f>
        <v>1.09375</v>
      </c>
      <c r="H318" s="60" t="str" cm="1">
        <f t="array" ref="H318">_xlfn.IFS(tbl_performance[[#This Row],[performance_pct]]&gt;=1.1,"Excellent",tbl_performance[[#This Row],[performance_pct]]&gt;=1,"Good",tbl_performance[[#This Row],[performance_pct]]&gt;=0.85,"Average",TRUE,"Poor")</f>
        <v>Good</v>
      </c>
    </row>
    <row r="319" spans="1:8" ht="19.8" x14ac:dyDescent="0.65">
      <c r="A319" s="58" t="s">
        <v>86</v>
      </c>
      <c r="B319" s="59">
        <v>45962</v>
      </c>
      <c r="C319" s="60">
        <v>63</v>
      </c>
      <c r="D319" s="60">
        <v>73</v>
      </c>
      <c r="E319" s="60" t="str">
        <f>tbl_performance[[#This Row],[employee_id]]&amp;"-"&amp;TEXT(tbl_performance[[#This Row],[month]],"mm")</f>
        <v>EMP1028-11</v>
      </c>
      <c r="F319" s="60">
        <f>COUNTIF(tbl_performance[employee_month_key],tbl_performance[[#This Row],[employee_month_key]])</f>
        <v>1</v>
      </c>
      <c r="G319" s="61">
        <f>tbl_performance[[#This Row],[achieved]]/tbl_performance[[#This Row],[target]]</f>
        <v>1.1587301587301588</v>
      </c>
      <c r="H319" s="60" t="str" cm="1">
        <f t="array" ref="H31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20" spans="1:8" ht="19.8" x14ac:dyDescent="0.65">
      <c r="A320" s="58" t="s">
        <v>86</v>
      </c>
      <c r="B320" s="59">
        <v>45992</v>
      </c>
      <c r="C320" s="60">
        <v>53</v>
      </c>
      <c r="D320" s="60">
        <v>58</v>
      </c>
      <c r="E320" s="60" t="str">
        <f>tbl_performance[[#This Row],[employee_id]]&amp;"-"&amp;TEXT(tbl_performance[[#This Row],[month]],"mm")</f>
        <v>EMP1028-12</v>
      </c>
      <c r="F320" s="60">
        <f>COUNTIF(tbl_performance[employee_month_key],tbl_performance[[#This Row],[employee_month_key]])</f>
        <v>1</v>
      </c>
      <c r="G320" s="61">
        <f>tbl_performance[[#This Row],[achieved]]/tbl_performance[[#This Row],[target]]</f>
        <v>1.0943396226415094</v>
      </c>
      <c r="H320" s="60" t="str" cm="1">
        <f t="array" ref="H320">_xlfn.IFS(tbl_performance[[#This Row],[performance_pct]]&gt;=1.1,"Excellent",tbl_performance[[#This Row],[performance_pct]]&gt;=1,"Good",tbl_performance[[#This Row],[performance_pct]]&gt;=0.85,"Average",TRUE,"Poor")</f>
        <v>Good</v>
      </c>
    </row>
    <row r="321" spans="1:8" ht="19.8" x14ac:dyDescent="0.65">
      <c r="A321" s="58" t="s">
        <v>89</v>
      </c>
      <c r="B321" s="59">
        <v>45658</v>
      </c>
      <c r="C321" s="60">
        <v>335</v>
      </c>
      <c r="D321" s="60">
        <v>290</v>
      </c>
      <c r="E321" s="60" t="str">
        <f>tbl_performance[[#This Row],[employee_id]]&amp;"-"&amp;TEXT(tbl_performance[[#This Row],[month]],"mm")</f>
        <v>EMP1029-01</v>
      </c>
      <c r="F321" s="60">
        <f>COUNTIF(tbl_performance[employee_month_key],tbl_performance[[#This Row],[employee_month_key]])</f>
        <v>1</v>
      </c>
      <c r="G321" s="61">
        <f>tbl_performance[[#This Row],[achieved]]/tbl_performance[[#This Row],[target]]</f>
        <v>0.86567164179104472</v>
      </c>
      <c r="H321" s="60" t="str" cm="1">
        <f t="array" ref="H3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2" spans="1:8" ht="19.8" x14ac:dyDescent="0.65">
      <c r="A322" s="58" t="s">
        <v>89</v>
      </c>
      <c r="B322" s="59">
        <v>45689</v>
      </c>
      <c r="C322" s="60">
        <v>311</v>
      </c>
      <c r="D322" s="60">
        <v>258</v>
      </c>
      <c r="E322" s="60" t="str">
        <f>tbl_performance[[#This Row],[employee_id]]&amp;"-"&amp;TEXT(tbl_performance[[#This Row],[month]],"mm")</f>
        <v>EMP1029-02</v>
      </c>
      <c r="F322" s="60">
        <f>COUNTIF(tbl_performance[employee_month_key],tbl_performance[[#This Row],[employee_month_key]])</f>
        <v>1</v>
      </c>
      <c r="G322" s="61">
        <f>tbl_performance[[#This Row],[achieved]]/tbl_performance[[#This Row],[target]]</f>
        <v>0.82958199356913187</v>
      </c>
      <c r="H322" s="60" t="str" cm="1">
        <f t="array" ref="H322">_xlfn.IFS(tbl_performance[[#This Row],[performance_pct]]&gt;=1.1,"Excellent",tbl_performance[[#This Row],[performance_pct]]&gt;=1,"Good",tbl_performance[[#This Row],[performance_pct]]&gt;=0.85,"Average",TRUE,"Poor")</f>
        <v>Poor</v>
      </c>
    </row>
    <row r="323" spans="1:8" ht="19.8" x14ac:dyDescent="0.65">
      <c r="A323" s="58" t="s">
        <v>89</v>
      </c>
      <c r="B323" s="59">
        <v>45717</v>
      </c>
      <c r="C323" s="60">
        <v>341</v>
      </c>
      <c r="D323" s="60">
        <v>334</v>
      </c>
      <c r="E323" s="60" t="str">
        <f>tbl_performance[[#This Row],[employee_id]]&amp;"-"&amp;TEXT(tbl_performance[[#This Row],[month]],"mm")</f>
        <v>EMP1029-03</v>
      </c>
      <c r="F323" s="60">
        <f>COUNTIF(tbl_performance[employee_month_key],tbl_performance[[#This Row],[employee_month_key]])</f>
        <v>1</v>
      </c>
      <c r="G323" s="61">
        <f>tbl_performance[[#This Row],[achieved]]/tbl_performance[[#This Row],[target]]</f>
        <v>0.97947214076246336</v>
      </c>
      <c r="H323" s="60" t="str" cm="1">
        <f t="array" ref="H32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4" spans="1:8" ht="19.8" x14ac:dyDescent="0.65">
      <c r="A324" s="58" t="s">
        <v>89</v>
      </c>
      <c r="B324" s="59">
        <v>45748</v>
      </c>
      <c r="C324" s="60">
        <v>335</v>
      </c>
      <c r="D324" s="60">
        <v>326</v>
      </c>
      <c r="E324" s="60" t="str">
        <f>tbl_performance[[#This Row],[employee_id]]&amp;"-"&amp;TEXT(tbl_performance[[#This Row],[month]],"mm")</f>
        <v>EMP1029-04</v>
      </c>
      <c r="F324" s="60">
        <f>COUNTIF(tbl_performance[employee_month_key],tbl_performance[[#This Row],[employee_month_key]])</f>
        <v>1</v>
      </c>
      <c r="G324" s="61">
        <f>tbl_performance[[#This Row],[achieved]]/tbl_performance[[#This Row],[target]]</f>
        <v>0.9731343283582089</v>
      </c>
      <c r="H324" s="60" t="str" cm="1">
        <f t="array" ref="H32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5" spans="1:8" ht="19.8" x14ac:dyDescent="0.65">
      <c r="A325" s="58" t="s">
        <v>89</v>
      </c>
      <c r="B325" s="59">
        <v>45778</v>
      </c>
      <c r="C325" s="60">
        <v>335</v>
      </c>
      <c r="D325" s="60">
        <v>280</v>
      </c>
      <c r="E325" s="60" t="str">
        <f>tbl_performance[[#This Row],[employee_id]]&amp;"-"&amp;TEXT(tbl_performance[[#This Row],[month]],"mm")</f>
        <v>EMP1029-05</v>
      </c>
      <c r="F325" s="60">
        <f>COUNTIF(tbl_performance[employee_month_key],tbl_performance[[#This Row],[employee_month_key]])</f>
        <v>1</v>
      </c>
      <c r="G325" s="61">
        <f>tbl_performance[[#This Row],[achieved]]/tbl_performance[[#This Row],[target]]</f>
        <v>0.83582089552238803</v>
      </c>
      <c r="H325" s="60" t="str" cm="1">
        <f t="array" ref="H325">_xlfn.IFS(tbl_performance[[#This Row],[performance_pct]]&gt;=1.1,"Excellent",tbl_performance[[#This Row],[performance_pct]]&gt;=1,"Good",tbl_performance[[#This Row],[performance_pct]]&gt;=0.85,"Average",TRUE,"Poor")</f>
        <v>Poor</v>
      </c>
    </row>
    <row r="326" spans="1:8" ht="19.8" x14ac:dyDescent="0.65">
      <c r="A326" s="58" t="s">
        <v>89</v>
      </c>
      <c r="B326" s="59">
        <v>45809</v>
      </c>
      <c r="C326" s="60">
        <v>328</v>
      </c>
      <c r="D326" s="60">
        <v>326</v>
      </c>
      <c r="E326" s="60" t="str">
        <f>tbl_performance[[#This Row],[employee_id]]&amp;"-"&amp;TEXT(tbl_performance[[#This Row],[month]],"mm")</f>
        <v>EMP1029-06</v>
      </c>
      <c r="F326" s="60">
        <f>COUNTIF(tbl_performance[employee_month_key],tbl_performance[[#This Row],[employee_month_key]])</f>
        <v>1</v>
      </c>
      <c r="G326" s="61">
        <f>tbl_performance[[#This Row],[achieved]]/tbl_performance[[#This Row],[target]]</f>
        <v>0.99390243902439024</v>
      </c>
      <c r="H326" s="60" t="str" cm="1">
        <f t="array" ref="H3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7" spans="1:8" ht="19.8" x14ac:dyDescent="0.65">
      <c r="A327" s="58" t="s">
        <v>89</v>
      </c>
      <c r="B327" s="59">
        <v>45839</v>
      </c>
      <c r="C327" s="60">
        <v>335</v>
      </c>
      <c r="D327" s="60">
        <v>292</v>
      </c>
      <c r="E327" s="60" t="str">
        <f>tbl_performance[[#This Row],[employee_id]]&amp;"-"&amp;TEXT(tbl_performance[[#This Row],[month]],"mm")</f>
        <v>EMP1029-07</v>
      </c>
      <c r="F327" s="60">
        <f>COUNTIF(tbl_performance[employee_month_key],tbl_performance[[#This Row],[employee_month_key]])</f>
        <v>1</v>
      </c>
      <c r="G327" s="61">
        <f>tbl_performance[[#This Row],[achieved]]/tbl_performance[[#This Row],[target]]</f>
        <v>0.87164179104477613</v>
      </c>
      <c r="H327" s="60" t="str" cm="1">
        <f t="array" ref="H32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8" spans="1:8" ht="19.8" x14ac:dyDescent="0.65">
      <c r="A328" s="58" t="s">
        <v>89</v>
      </c>
      <c r="B328" s="59">
        <v>45870</v>
      </c>
      <c r="C328" s="60">
        <v>325</v>
      </c>
      <c r="D328" s="60">
        <v>277</v>
      </c>
      <c r="E328" s="60" t="str">
        <f>tbl_performance[[#This Row],[employee_id]]&amp;"-"&amp;TEXT(tbl_performance[[#This Row],[month]],"mm")</f>
        <v>EMP1029-08</v>
      </c>
      <c r="F328" s="60">
        <f>COUNTIF(tbl_performance[employee_month_key],tbl_performance[[#This Row],[employee_month_key]])</f>
        <v>1</v>
      </c>
      <c r="G328" s="61">
        <f>tbl_performance[[#This Row],[achieved]]/tbl_performance[[#This Row],[target]]</f>
        <v>0.85230769230769232</v>
      </c>
      <c r="H328" s="60" t="str" cm="1">
        <f t="array" ref="H32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29" spans="1:8" ht="19.8" x14ac:dyDescent="0.65">
      <c r="A329" s="58" t="s">
        <v>89</v>
      </c>
      <c r="B329" s="59">
        <v>45901</v>
      </c>
      <c r="C329" s="60">
        <v>335</v>
      </c>
      <c r="D329" s="60">
        <v>302</v>
      </c>
      <c r="E329" s="60" t="str">
        <f>tbl_performance[[#This Row],[employee_id]]&amp;"-"&amp;TEXT(tbl_performance[[#This Row],[month]],"mm")</f>
        <v>EMP1029-09</v>
      </c>
      <c r="F329" s="60">
        <f>COUNTIF(tbl_performance[employee_month_key],tbl_performance[[#This Row],[employee_month_key]])</f>
        <v>1</v>
      </c>
      <c r="G329" s="61">
        <f>tbl_performance[[#This Row],[achieved]]/tbl_performance[[#This Row],[target]]</f>
        <v>0.90149253731343282</v>
      </c>
      <c r="H329" s="60" t="str" cm="1">
        <f t="array" ref="H32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30" spans="1:8" ht="19.8" x14ac:dyDescent="0.65">
      <c r="A330" s="58" t="s">
        <v>89</v>
      </c>
      <c r="B330" s="59">
        <v>45931</v>
      </c>
      <c r="C330" s="60">
        <v>341</v>
      </c>
      <c r="D330" s="60">
        <v>286</v>
      </c>
      <c r="E330" s="60" t="str">
        <f>tbl_performance[[#This Row],[employee_id]]&amp;"-"&amp;TEXT(tbl_performance[[#This Row],[month]],"mm")</f>
        <v>EMP1029-10</v>
      </c>
      <c r="F330" s="60">
        <f>COUNTIF(tbl_performance[employee_month_key],tbl_performance[[#This Row],[employee_month_key]])</f>
        <v>1</v>
      </c>
      <c r="G330" s="61">
        <f>tbl_performance[[#This Row],[achieved]]/tbl_performance[[#This Row],[target]]</f>
        <v>0.83870967741935487</v>
      </c>
      <c r="H330" s="60" t="str" cm="1">
        <f t="array" ref="H330">_xlfn.IFS(tbl_performance[[#This Row],[performance_pct]]&gt;=1.1,"Excellent",tbl_performance[[#This Row],[performance_pct]]&gt;=1,"Good",tbl_performance[[#This Row],[performance_pct]]&gt;=0.85,"Average",TRUE,"Poor")</f>
        <v>Poor</v>
      </c>
    </row>
    <row r="331" spans="1:8" ht="19.8" x14ac:dyDescent="0.65">
      <c r="A331" s="58" t="s">
        <v>89</v>
      </c>
      <c r="B331" s="59">
        <v>45962</v>
      </c>
      <c r="C331" s="60">
        <v>335</v>
      </c>
      <c r="D331" s="60">
        <v>326</v>
      </c>
      <c r="E331" s="60" t="str">
        <f>tbl_performance[[#This Row],[employee_id]]&amp;"-"&amp;TEXT(tbl_performance[[#This Row],[month]],"mm")</f>
        <v>EMP1029-11</v>
      </c>
      <c r="F331" s="60">
        <f>COUNTIF(tbl_performance[employee_month_key],tbl_performance[[#This Row],[employee_month_key]])</f>
        <v>1</v>
      </c>
      <c r="G331" s="61">
        <f>tbl_performance[[#This Row],[achieved]]/tbl_performance[[#This Row],[target]]</f>
        <v>0.9731343283582089</v>
      </c>
      <c r="H331" s="60" t="str" cm="1">
        <f t="array" ref="H33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32" spans="1:8" ht="19.8" x14ac:dyDescent="0.65">
      <c r="A332" s="58" t="s">
        <v>89</v>
      </c>
      <c r="B332" s="59">
        <v>45992</v>
      </c>
      <c r="C332" s="60">
        <v>284</v>
      </c>
      <c r="D332" s="60">
        <v>236</v>
      </c>
      <c r="E332" s="60" t="str">
        <f>tbl_performance[[#This Row],[employee_id]]&amp;"-"&amp;TEXT(tbl_performance[[#This Row],[month]],"mm")</f>
        <v>EMP1029-12</v>
      </c>
      <c r="F332" s="60">
        <f>COUNTIF(tbl_performance[employee_month_key],tbl_performance[[#This Row],[employee_month_key]])</f>
        <v>1</v>
      </c>
      <c r="G332" s="61">
        <f>tbl_performance[[#This Row],[achieved]]/tbl_performance[[#This Row],[target]]</f>
        <v>0.83098591549295775</v>
      </c>
      <c r="H332" s="60" t="str" cm="1">
        <f t="array" ref="H332">_xlfn.IFS(tbl_performance[[#This Row],[performance_pct]]&gt;=1.1,"Excellent",tbl_performance[[#This Row],[performance_pct]]&gt;=1,"Good",tbl_performance[[#This Row],[performance_pct]]&gt;=0.85,"Average",TRUE,"Poor")</f>
        <v>Poor</v>
      </c>
    </row>
    <row r="333" spans="1:8" ht="19.8" x14ac:dyDescent="0.65">
      <c r="A333" s="58" t="s">
        <v>91</v>
      </c>
      <c r="B333" s="59">
        <v>45658</v>
      </c>
      <c r="C333" s="60">
        <v>200</v>
      </c>
      <c r="D333" s="60">
        <v>202</v>
      </c>
      <c r="E333" s="60" t="str">
        <f>tbl_performance[[#This Row],[employee_id]]&amp;"-"&amp;TEXT(tbl_performance[[#This Row],[month]],"mm")</f>
        <v>EMP1030-01</v>
      </c>
      <c r="F333" s="60">
        <f>COUNTIF(tbl_performance[employee_month_key],tbl_performance[[#This Row],[employee_month_key]])</f>
        <v>1</v>
      </c>
      <c r="G333" s="61">
        <f>tbl_performance[[#This Row],[achieved]]/tbl_performance[[#This Row],[target]]</f>
        <v>1.01</v>
      </c>
      <c r="H333" s="60" t="str" cm="1">
        <f t="array" ref="H333">_xlfn.IFS(tbl_performance[[#This Row],[performance_pct]]&gt;=1.1,"Excellent",tbl_performance[[#This Row],[performance_pct]]&gt;=1,"Good",tbl_performance[[#This Row],[performance_pct]]&gt;=0.85,"Average",TRUE,"Poor")</f>
        <v>Good</v>
      </c>
    </row>
    <row r="334" spans="1:8" ht="19.8" x14ac:dyDescent="0.65">
      <c r="A334" s="58" t="s">
        <v>91</v>
      </c>
      <c r="B334" s="59">
        <v>45689</v>
      </c>
      <c r="C334" s="60">
        <v>186</v>
      </c>
      <c r="D334" s="60">
        <v>181</v>
      </c>
      <c r="E334" s="60" t="str">
        <f>tbl_performance[[#This Row],[employee_id]]&amp;"-"&amp;TEXT(tbl_performance[[#This Row],[month]],"mm")</f>
        <v>EMP1030-02</v>
      </c>
      <c r="F334" s="60">
        <f>COUNTIF(tbl_performance[employee_month_key],tbl_performance[[#This Row],[employee_month_key]])</f>
        <v>1</v>
      </c>
      <c r="G334" s="61">
        <f>tbl_performance[[#This Row],[achieved]]/tbl_performance[[#This Row],[target]]</f>
        <v>0.9731182795698925</v>
      </c>
      <c r="H334" s="60" t="str" cm="1">
        <f t="array" ref="H33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35" spans="1:8" ht="19.8" x14ac:dyDescent="0.65">
      <c r="A335" s="58" t="s">
        <v>91</v>
      </c>
      <c r="B335" s="59">
        <v>45717</v>
      </c>
      <c r="C335" s="60">
        <v>204</v>
      </c>
      <c r="D335" s="60">
        <v>208</v>
      </c>
      <c r="E335" s="60" t="str">
        <f>tbl_performance[[#This Row],[employee_id]]&amp;"-"&amp;TEXT(tbl_performance[[#This Row],[month]],"mm")</f>
        <v>EMP1030-03</v>
      </c>
      <c r="F335" s="60">
        <f>COUNTIF(tbl_performance[employee_month_key],tbl_performance[[#This Row],[employee_month_key]])</f>
        <v>1</v>
      </c>
      <c r="G335" s="61">
        <f>tbl_performance[[#This Row],[achieved]]/tbl_performance[[#This Row],[target]]</f>
        <v>1.0196078431372548</v>
      </c>
      <c r="H335" s="60" t="str" cm="1">
        <f t="array" ref="H335">_xlfn.IFS(tbl_performance[[#This Row],[performance_pct]]&gt;=1.1,"Excellent",tbl_performance[[#This Row],[performance_pct]]&gt;=1,"Good",tbl_performance[[#This Row],[performance_pct]]&gt;=0.85,"Average",TRUE,"Poor")</f>
        <v>Good</v>
      </c>
    </row>
    <row r="336" spans="1:8" ht="19.8" x14ac:dyDescent="0.65">
      <c r="A336" s="58" t="s">
        <v>91</v>
      </c>
      <c r="B336" s="59">
        <v>45748</v>
      </c>
      <c r="C336" s="60">
        <v>200</v>
      </c>
      <c r="D336" s="60">
        <v>201</v>
      </c>
      <c r="E336" s="60" t="str">
        <f>tbl_performance[[#This Row],[employee_id]]&amp;"-"&amp;TEXT(tbl_performance[[#This Row],[month]],"mm")</f>
        <v>EMP1030-04</v>
      </c>
      <c r="F336" s="60">
        <f>COUNTIF(tbl_performance[employee_month_key],tbl_performance[[#This Row],[employee_month_key]])</f>
        <v>1</v>
      </c>
      <c r="G336" s="61">
        <f>tbl_performance[[#This Row],[achieved]]/tbl_performance[[#This Row],[target]]</f>
        <v>1.0049999999999999</v>
      </c>
      <c r="H336" s="60" t="str" cm="1">
        <f t="array" ref="H336">_xlfn.IFS(tbl_performance[[#This Row],[performance_pct]]&gt;=1.1,"Excellent",tbl_performance[[#This Row],[performance_pct]]&gt;=1,"Good",tbl_performance[[#This Row],[performance_pct]]&gt;=0.85,"Average",TRUE,"Poor")</f>
        <v>Good</v>
      </c>
    </row>
    <row r="337" spans="1:8" ht="19.8" x14ac:dyDescent="0.65">
      <c r="A337" s="58" t="s">
        <v>91</v>
      </c>
      <c r="B337" s="59">
        <v>45778</v>
      </c>
      <c r="C337" s="60">
        <v>200</v>
      </c>
      <c r="D337" s="60">
        <v>200</v>
      </c>
      <c r="E337" s="60" t="str">
        <f>tbl_performance[[#This Row],[employee_id]]&amp;"-"&amp;TEXT(tbl_performance[[#This Row],[month]],"mm")</f>
        <v>EMP1030-05</v>
      </c>
      <c r="F337" s="60">
        <f>COUNTIF(tbl_performance[employee_month_key],tbl_performance[[#This Row],[employee_month_key]])</f>
        <v>1</v>
      </c>
      <c r="G337" s="61">
        <f>tbl_performance[[#This Row],[achieved]]/tbl_performance[[#This Row],[target]]</f>
        <v>1</v>
      </c>
      <c r="H337" s="60" t="str" cm="1">
        <f t="array" ref="H337">_xlfn.IFS(tbl_performance[[#This Row],[performance_pct]]&gt;=1.1,"Excellent",tbl_performance[[#This Row],[performance_pct]]&gt;=1,"Good",tbl_performance[[#This Row],[performance_pct]]&gt;=0.85,"Average",TRUE,"Poor")</f>
        <v>Good</v>
      </c>
    </row>
    <row r="338" spans="1:8" ht="19.8" x14ac:dyDescent="0.65">
      <c r="A338" s="58" t="s">
        <v>91</v>
      </c>
      <c r="B338" s="59">
        <v>45809</v>
      </c>
      <c r="C338" s="60">
        <v>196</v>
      </c>
      <c r="D338" s="60">
        <v>205</v>
      </c>
      <c r="E338" s="60" t="str">
        <f>tbl_performance[[#This Row],[employee_id]]&amp;"-"&amp;TEXT(tbl_performance[[#This Row],[month]],"mm")</f>
        <v>EMP1030-06</v>
      </c>
      <c r="F338" s="60">
        <f>COUNTIF(tbl_performance[employee_month_key],tbl_performance[[#This Row],[employee_month_key]])</f>
        <v>1</v>
      </c>
      <c r="G338" s="61">
        <f>tbl_performance[[#This Row],[achieved]]/tbl_performance[[#This Row],[target]]</f>
        <v>1.0459183673469388</v>
      </c>
      <c r="H338" s="60" t="str" cm="1">
        <f t="array" ref="H338">_xlfn.IFS(tbl_performance[[#This Row],[performance_pct]]&gt;=1.1,"Excellent",tbl_performance[[#This Row],[performance_pct]]&gt;=1,"Good",tbl_performance[[#This Row],[performance_pct]]&gt;=0.85,"Average",TRUE,"Poor")</f>
        <v>Good</v>
      </c>
    </row>
    <row r="339" spans="1:8" ht="19.8" x14ac:dyDescent="0.65">
      <c r="A339" s="58" t="s">
        <v>91</v>
      </c>
      <c r="B339" s="59">
        <v>45839</v>
      </c>
      <c r="C339" s="60">
        <v>200</v>
      </c>
      <c r="D339" s="60">
        <v>210</v>
      </c>
      <c r="E339" s="60" t="str">
        <f>tbl_performance[[#This Row],[employee_id]]&amp;"-"&amp;TEXT(tbl_performance[[#This Row],[month]],"mm")</f>
        <v>EMP1030-07</v>
      </c>
      <c r="F339" s="60">
        <f>COUNTIF(tbl_performance[employee_month_key],tbl_performance[[#This Row],[employee_month_key]])</f>
        <v>1</v>
      </c>
      <c r="G339" s="61">
        <f>tbl_performance[[#This Row],[achieved]]/tbl_performance[[#This Row],[target]]</f>
        <v>1.05</v>
      </c>
      <c r="H339" s="60" t="str" cm="1">
        <f t="array" ref="H339">_xlfn.IFS(tbl_performance[[#This Row],[performance_pct]]&gt;=1.1,"Excellent",tbl_performance[[#This Row],[performance_pct]]&gt;=1,"Good",tbl_performance[[#This Row],[performance_pct]]&gt;=0.85,"Average",TRUE,"Poor")</f>
        <v>Good</v>
      </c>
    </row>
    <row r="340" spans="1:8" ht="19.8" x14ac:dyDescent="0.65">
      <c r="A340" s="58" t="s">
        <v>91</v>
      </c>
      <c r="B340" s="59">
        <v>45870</v>
      </c>
      <c r="C340" s="60">
        <v>194</v>
      </c>
      <c r="D340" s="60">
        <v>161</v>
      </c>
      <c r="E340" s="60" t="str">
        <f>tbl_performance[[#This Row],[employee_id]]&amp;"-"&amp;TEXT(tbl_performance[[#This Row],[month]],"mm")</f>
        <v>EMP1030-08</v>
      </c>
      <c r="F340" s="60">
        <f>COUNTIF(tbl_performance[employee_month_key],tbl_performance[[#This Row],[employee_month_key]])</f>
        <v>1</v>
      </c>
      <c r="G340" s="61">
        <f>tbl_performance[[#This Row],[achieved]]/tbl_performance[[#This Row],[target]]</f>
        <v>0.82989690721649489</v>
      </c>
      <c r="H340" s="60" t="str" cm="1">
        <f t="array" ref="H340">_xlfn.IFS(tbl_performance[[#This Row],[performance_pct]]&gt;=1.1,"Excellent",tbl_performance[[#This Row],[performance_pct]]&gt;=1,"Good",tbl_performance[[#This Row],[performance_pct]]&gt;=0.85,"Average",TRUE,"Poor")</f>
        <v>Poor</v>
      </c>
    </row>
    <row r="341" spans="1:8" ht="19.8" x14ac:dyDescent="0.65">
      <c r="A341" s="58" t="s">
        <v>91</v>
      </c>
      <c r="B341" s="59">
        <v>45901</v>
      </c>
      <c r="C341" s="60">
        <v>200</v>
      </c>
      <c r="D341" s="60">
        <v>186</v>
      </c>
      <c r="E341" s="60" t="str">
        <f>tbl_performance[[#This Row],[employee_id]]&amp;"-"&amp;TEXT(tbl_performance[[#This Row],[month]],"mm")</f>
        <v>EMP1030-09</v>
      </c>
      <c r="F341" s="60">
        <f>COUNTIF(tbl_performance[employee_month_key],tbl_performance[[#This Row],[employee_month_key]])</f>
        <v>1</v>
      </c>
      <c r="G341" s="61">
        <f>tbl_performance[[#This Row],[achieved]]/tbl_performance[[#This Row],[target]]</f>
        <v>0.93</v>
      </c>
      <c r="H341" s="60" t="str" cm="1">
        <f t="array" ref="H34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2" spans="1:8" ht="19.8" x14ac:dyDescent="0.65">
      <c r="A342" s="58" t="s">
        <v>91</v>
      </c>
      <c r="B342" s="59">
        <v>45931</v>
      </c>
      <c r="C342" s="60">
        <v>204</v>
      </c>
      <c r="D342" s="60">
        <v>203</v>
      </c>
      <c r="E342" s="60" t="str">
        <f>tbl_performance[[#This Row],[employee_id]]&amp;"-"&amp;TEXT(tbl_performance[[#This Row],[month]],"mm")</f>
        <v>EMP1030-10</v>
      </c>
      <c r="F342" s="60">
        <f>COUNTIF(tbl_performance[employee_month_key],tbl_performance[[#This Row],[employee_month_key]])</f>
        <v>1</v>
      </c>
      <c r="G342" s="61">
        <f>tbl_performance[[#This Row],[achieved]]/tbl_performance[[#This Row],[target]]</f>
        <v>0.99509803921568629</v>
      </c>
      <c r="H342" s="60" t="str" cm="1">
        <f t="array" ref="H34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3" spans="1:8" ht="19.8" x14ac:dyDescent="0.65">
      <c r="A343" s="58" t="s">
        <v>91</v>
      </c>
      <c r="B343" s="59">
        <v>45962</v>
      </c>
      <c r="C343" s="60">
        <v>200</v>
      </c>
      <c r="D343" s="60">
        <v>177</v>
      </c>
      <c r="E343" s="60" t="str">
        <f>tbl_performance[[#This Row],[employee_id]]&amp;"-"&amp;TEXT(tbl_performance[[#This Row],[month]],"mm")</f>
        <v>EMP1030-11</v>
      </c>
      <c r="F343" s="60">
        <f>COUNTIF(tbl_performance[employee_month_key],tbl_performance[[#This Row],[employee_month_key]])</f>
        <v>1</v>
      </c>
      <c r="G343" s="61">
        <f>tbl_performance[[#This Row],[achieved]]/tbl_performance[[#This Row],[target]]</f>
        <v>0.88500000000000001</v>
      </c>
      <c r="H343" s="60" t="str" cm="1">
        <f t="array" ref="H34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4" spans="1:8" ht="19.8" x14ac:dyDescent="0.65">
      <c r="A344" s="58" t="s">
        <v>91</v>
      </c>
      <c r="B344" s="59">
        <v>45992</v>
      </c>
      <c r="C344" s="60">
        <v>170</v>
      </c>
      <c r="D344" s="60">
        <v>146</v>
      </c>
      <c r="E344" s="60" t="str">
        <f>tbl_performance[[#This Row],[employee_id]]&amp;"-"&amp;TEXT(tbl_performance[[#This Row],[month]],"mm")</f>
        <v>EMP1030-12</v>
      </c>
      <c r="F344" s="60">
        <f>COUNTIF(tbl_performance[employee_month_key],tbl_performance[[#This Row],[employee_month_key]])</f>
        <v>1</v>
      </c>
      <c r="G344" s="61">
        <f>tbl_performance[[#This Row],[achieved]]/tbl_performance[[#This Row],[target]]</f>
        <v>0.85882352941176465</v>
      </c>
      <c r="H344" s="60" t="str" cm="1">
        <f t="array" ref="H34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5" spans="1:8" ht="19.8" x14ac:dyDescent="0.65">
      <c r="A345" s="58" t="s">
        <v>93</v>
      </c>
      <c r="B345" s="59">
        <v>45658</v>
      </c>
      <c r="C345" s="60">
        <v>225</v>
      </c>
      <c r="D345" s="60">
        <v>239</v>
      </c>
      <c r="E345" s="60" t="str">
        <f>tbl_performance[[#This Row],[employee_id]]&amp;"-"&amp;TEXT(tbl_performance[[#This Row],[month]],"mm")</f>
        <v>EMP1031-01</v>
      </c>
      <c r="F345" s="60">
        <f>COUNTIF(tbl_performance[employee_month_key],tbl_performance[[#This Row],[employee_month_key]])</f>
        <v>1</v>
      </c>
      <c r="G345" s="61">
        <f>tbl_performance[[#This Row],[achieved]]/tbl_performance[[#This Row],[target]]</f>
        <v>1.0622222222222222</v>
      </c>
      <c r="H345" s="60" t="str" cm="1">
        <f t="array" ref="H345">_xlfn.IFS(tbl_performance[[#This Row],[performance_pct]]&gt;=1.1,"Excellent",tbl_performance[[#This Row],[performance_pct]]&gt;=1,"Good",tbl_performance[[#This Row],[performance_pct]]&gt;=0.85,"Average",TRUE,"Poor")</f>
        <v>Good</v>
      </c>
    </row>
    <row r="346" spans="1:8" ht="19.8" x14ac:dyDescent="0.65">
      <c r="A346" s="58" t="s">
        <v>93</v>
      </c>
      <c r="B346" s="59">
        <v>45689</v>
      </c>
      <c r="C346" s="60">
        <v>209</v>
      </c>
      <c r="D346" s="60">
        <v>200</v>
      </c>
      <c r="E346" s="60" t="str">
        <f>tbl_performance[[#This Row],[employee_id]]&amp;"-"&amp;TEXT(tbl_performance[[#This Row],[month]],"mm")</f>
        <v>EMP1031-02</v>
      </c>
      <c r="F346" s="60">
        <f>COUNTIF(tbl_performance[employee_month_key],tbl_performance[[#This Row],[employee_month_key]])</f>
        <v>1</v>
      </c>
      <c r="G346" s="61">
        <f>tbl_performance[[#This Row],[achieved]]/tbl_performance[[#This Row],[target]]</f>
        <v>0.9569377990430622</v>
      </c>
      <c r="H346" s="60" t="str" cm="1">
        <f t="array" ref="H34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7" spans="1:8" ht="19.8" x14ac:dyDescent="0.65">
      <c r="A347" s="58" t="s">
        <v>93</v>
      </c>
      <c r="B347" s="59">
        <v>45717</v>
      </c>
      <c r="C347" s="60">
        <v>230</v>
      </c>
      <c r="D347" s="60">
        <v>230</v>
      </c>
      <c r="E347" s="60" t="str">
        <f>tbl_performance[[#This Row],[employee_id]]&amp;"-"&amp;TEXT(tbl_performance[[#This Row],[month]],"mm")</f>
        <v>EMP1031-03</v>
      </c>
      <c r="F347" s="60">
        <f>COUNTIF(tbl_performance[employee_month_key],tbl_performance[[#This Row],[employee_month_key]])</f>
        <v>1</v>
      </c>
      <c r="G347" s="61">
        <f>tbl_performance[[#This Row],[achieved]]/tbl_performance[[#This Row],[target]]</f>
        <v>1</v>
      </c>
      <c r="H347" s="60" t="str" cm="1">
        <f t="array" ref="H347">_xlfn.IFS(tbl_performance[[#This Row],[performance_pct]]&gt;=1.1,"Excellent",tbl_performance[[#This Row],[performance_pct]]&gt;=1,"Good",tbl_performance[[#This Row],[performance_pct]]&gt;=0.85,"Average",TRUE,"Poor")</f>
        <v>Good</v>
      </c>
    </row>
    <row r="348" spans="1:8" ht="19.8" x14ac:dyDescent="0.65">
      <c r="A348" s="58" t="s">
        <v>93</v>
      </c>
      <c r="B348" s="59">
        <v>45748</v>
      </c>
      <c r="C348" s="60">
        <v>225</v>
      </c>
      <c r="D348" s="60">
        <v>222</v>
      </c>
      <c r="E348" s="60" t="str">
        <f>tbl_performance[[#This Row],[employee_id]]&amp;"-"&amp;TEXT(tbl_performance[[#This Row],[month]],"mm")</f>
        <v>EMP1031-04</v>
      </c>
      <c r="F348" s="60">
        <f>COUNTIF(tbl_performance[employee_month_key],tbl_performance[[#This Row],[employee_month_key]])</f>
        <v>1</v>
      </c>
      <c r="G348" s="61">
        <f>tbl_performance[[#This Row],[achieved]]/tbl_performance[[#This Row],[target]]</f>
        <v>0.98666666666666669</v>
      </c>
      <c r="H348" s="60" t="str" cm="1">
        <f t="array" ref="H34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49" spans="1:8" ht="19.8" x14ac:dyDescent="0.65">
      <c r="A349" s="58" t="s">
        <v>93</v>
      </c>
      <c r="B349" s="59">
        <v>45778</v>
      </c>
      <c r="C349" s="60">
        <v>225</v>
      </c>
      <c r="D349" s="60">
        <v>256</v>
      </c>
      <c r="E349" s="60" t="str">
        <f>tbl_performance[[#This Row],[employee_id]]&amp;"-"&amp;TEXT(tbl_performance[[#This Row],[month]],"mm")</f>
        <v>EMP1031-05</v>
      </c>
      <c r="F349" s="60">
        <f>COUNTIF(tbl_performance[employee_month_key],tbl_performance[[#This Row],[employee_month_key]])</f>
        <v>1</v>
      </c>
      <c r="G349" s="61">
        <f>tbl_performance[[#This Row],[achieved]]/tbl_performance[[#This Row],[target]]</f>
        <v>1.1377777777777778</v>
      </c>
      <c r="H349" s="60" t="str" cm="1">
        <f t="array" ref="H34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350" spans="1:8" ht="19.8" x14ac:dyDescent="0.65">
      <c r="A350" s="58" t="s">
        <v>93</v>
      </c>
      <c r="B350" s="59">
        <v>45809</v>
      </c>
      <c r="C350" s="60">
        <v>221</v>
      </c>
      <c r="D350" s="60">
        <v>228</v>
      </c>
      <c r="E350" s="60" t="str">
        <f>tbl_performance[[#This Row],[employee_id]]&amp;"-"&amp;TEXT(tbl_performance[[#This Row],[month]],"mm")</f>
        <v>EMP1031-06</v>
      </c>
      <c r="F350" s="60">
        <f>COUNTIF(tbl_performance[employee_month_key],tbl_performance[[#This Row],[employee_month_key]])</f>
        <v>1</v>
      </c>
      <c r="G350" s="61">
        <f>tbl_performance[[#This Row],[achieved]]/tbl_performance[[#This Row],[target]]</f>
        <v>1.0316742081447965</v>
      </c>
      <c r="H350" s="60" t="str" cm="1">
        <f t="array" ref="H350">_xlfn.IFS(tbl_performance[[#This Row],[performance_pct]]&gt;=1.1,"Excellent",tbl_performance[[#This Row],[performance_pct]]&gt;=1,"Good",tbl_performance[[#This Row],[performance_pct]]&gt;=0.85,"Average",TRUE,"Poor")</f>
        <v>Good</v>
      </c>
    </row>
    <row r="351" spans="1:8" ht="19.8" x14ac:dyDescent="0.65">
      <c r="A351" s="58" t="s">
        <v>93</v>
      </c>
      <c r="B351" s="59">
        <v>45839</v>
      </c>
      <c r="C351" s="60">
        <v>225</v>
      </c>
      <c r="D351" s="60">
        <v>217</v>
      </c>
      <c r="E351" s="60" t="str">
        <f>tbl_performance[[#This Row],[employee_id]]&amp;"-"&amp;TEXT(tbl_performance[[#This Row],[month]],"mm")</f>
        <v>EMP1031-07</v>
      </c>
      <c r="F351" s="60">
        <f>COUNTIF(tbl_performance[employee_month_key],tbl_performance[[#This Row],[employee_month_key]])</f>
        <v>1</v>
      </c>
      <c r="G351" s="61">
        <f>tbl_performance[[#This Row],[achieved]]/tbl_performance[[#This Row],[target]]</f>
        <v>0.96444444444444444</v>
      </c>
      <c r="H351" s="60" t="str" cm="1">
        <f t="array" ref="H35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52" spans="1:8" ht="19.8" x14ac:dyDescent="0.65">
      <c r="A352" s="58" t="s">
        <v>93</v>
      </c>
      <c r="B352" s="59">
        <v>45870</v>
      </c>
      <c r="C352" s="60">
        <v>218</v>
      </c>
      <c r="D352" s="60">
        <v>167</v>
      </c>
      <c r="E352" s="60" t="str">
        <f>tbl_performance[[#This Row],[employee_id]]&amp;"-"&amp;TEXT(tbl_performance[[#This Row],[month]],"mm")</f>
        <v>EMP1031-08</v>
      </c>
      <c r="F352" s="60">
        <f>COUNTIF(tbl_performance[employee_month_key],tbl_performance[[#This Row],[employee_month_key]])</f>
        <v>1</v>
      </c>
      <c r="G352" s="61">
        <f>tbl_performance[[#This Row],[achieved]]/tbl_performance[[#This Row],[target]]</f>
        <v>0.76605504587155959</v>
      </c>
      <c r="H352" s="60" t="str" cm="1">
        <f t="array" ref="H352">_xlfn.IFS(tbl_performance[[#This Row],[performance_pct]]&gt;=1.1,"Excellent",tbl_performance[[#This Row],[performance_pct]]&gt;=1,"Good",tbl_performance[[#This Row],[performance_pct]]&gt;=0.85,"Average",TRUE,"Poor")</f>
        <v>Poor</v>
      </c>
    </row>
    <row r="353" spans="1:8" ht="19.8" x14ac:dyDescent="0.65">
      <c r="A353" s="58" t="s">
        <v>93</v>
      </c>
      <c r="B353" s="59">
        <v>45901</v>
      </c>
      <c r="C353" s="60">
        <v>225</v>
      </c>
      <c r="D353" s="60">
        <v>187</v>
      </c>
      <c r="E353" s="60" t="str">
        <f>tbl_performance[[#This Row],[employee_id]]&amp;"-"&amp;TEXT(tbl_performance[[#This Row],[month]],"mm")</f>
        <v>EMP1031-09</v>
      </c>
      <c r="F353" s="60">
        <f>COUNTIF(tbl_performance[employee_month_key],tbl_performance[[#This Row],[employee_month_key]])</f>
        <v>1</v>
      </c>
      <c r="G353" s="61">
        <f>tbl_performance[[#This Row],[achieved]]/tbl_performance[[#This Row],[target]]</f>
        <v>0.83111111111111113</v>
      </c>
      <c r="H353" s="60" t="str" cm="1">
        <f t="array" ref="H353">_xlfn.IFS(tbl_performance[[#This Row],[performance_pct]]&gt;=1.1,"Excellent",tbl_performance[[#This Row],[performance_pct]]&gt;=1,"Good",tbl_performance[[#This Row],[performance_pct]]&gt;=0.85,"Average",TRUE,"Poor")</f>
        <v>Poor</v>
      </c>
    </row>
    <row r="354" spans="1:8" ht="19.8" x14ac:dyDescent="0.65">
      <c r="A354" s="58" t="s">
        <v>93</v>
      </c>
      <c r="B354" s="59">
        <v>45931</v>
      </c>
      <c r="C354" s="60">
        <v>230</v>
      </c>
      <c r="D354" s="60">
        <v>226</v>
      </c>
      <c r="E354" s="60" t="str">
        <f>tbl_performance[[#This Row],[employee_id]]&amp;"-"&amp;TEXT(tbl_performance[[#This Row],[month]],"mm")</f>
        <v>EMP1031-10</v>
      </c>
      <c r="F354" s="60">
        <f>COUNTIF(tbl_performance[employee_month_key],tbl_performance[[#This Row],[employee_month_key]])</f>
        <v>1</v>
      </c>
      <c r="G354" s="61">
        <f>tbl_performance[[#This Row],[achieved]]/tbl_performance[[#This Row],[target]]</f>
        <v>0.9826086956521739</v>
      </c>
      <c r="H354" s="60" t="str" cm="1">
        <f t="array" ref="H35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55" spans="1:8" ht="19.8" x14ac:dyDescent="0.65">
      <c r="A355" s="58" t="s">
        <v>93</v>
      </c>
      <c r="B355" s="59">
        <v>45962</v>
      </c>
      <c r="C355" s="60">
        <v>225</v>
      </c>
      <c r="D355" s="60">
        <v>209</v>
      </c>
      <c r="E355" s="60" t="str">
        <f>tbl_performance[[#This Row],[employee_id]]&amp;"-"&amp;TEXT(tbl_performance[[#This Row],[month]],"mm")</f>
        <v>EMP1031-11</v>
      </c>
      <c r="F355" s="60">
        <f>COUNTIF(tbl_performance[employee_month_key],tbl_performance[[#This Row],[employee_month_key]])</f>
        <v>1</v>
      </c>
      <c r="G355" s="61">
        <f>tbl_performance[[#This Row],[achieved]]/tbl_performance[[#This Row],[target]]</f>
        <v>0.92888888888888888</v>
      </c>
      <c r="H355" s="60" t="str" cm="1">
        <f t="array" ref="H3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56" spans="1:8" ht="19.8" x14ac:dyDescent="0.65">
      <c r="A356" s="58" t="s">
        <v>93</v>
      </c>
      <c r="B356" s="59">
        <v>45992</v>
      </c>
      <c r="C356" s="60">
        <v>191</v>
      </c>
      <c r="D356" s="60">
        <v>157</v>
      </c>
      <c r="E356" s="60" t="str">
        <f>tbl_performance[[#This Row],[employee_id]]&amp;"-"&amp;TEXT(tbl_performance[[#This Row],[month]],"mm")</f>
        <v>EMP1031-12</v>
      </c>
      <c r="F356" s="60">
        <f>COUNTIF(tbl_performance[employee_month_key],tbl_performance[[#This Row],[employee_month_key]])</f>
        <v>1</v>
      </c>
      <c r="G356" s="61">
        <f>tbl_performance[[#This Row],[achieved]]/tbl_performance[[#This Row],[target]]</f>
        <v>0.82198952879581155</v>
      </c>
      <c r="H356" s="60" t="str" cm="1">
        <f t="array" ref="H356">_xlfn.IFS(tbl_performance[[#This Row],[performance_pct]]&gt;=1.1,"Excellent",tbl_performance[[#This Row],[performance_pct]]&gt;=1,"Good",tbl_performance[[#This Row],[performance_pct]]&gt;=0.85,"Average",TRUE,"Poor")</f>
        <v>Poor</v>
      </c>
    </row>
    <row r="357" spans="1:8" ht="19.8" x14ac:dyDescent="0.65">
      <c r="A357" s="58" t="s">
        <v>95</v>
      </c>
      <c r="B357" s="59">
        <v>45658</v>
      </c>
      <c r="C357" s="60">
        <v>36</v>
      </c>
      <c r="D357" s="60">
        <v>35</v>
      </c>
      <c r="E357" s="60" t="str">
        <f>tbl_performance[[#This Row],[employee_id]]&amp;"-"&amp;TEXT(tbl_performance[[#This Row],[month]],"mm")</f>
        <v>EMP1032-01</v>
      </c>
      <c r="F357" s="60">
        <f>COUNTIF(tbl_performance[employee_month_key],tbl_performance[[#This Row],[employee_month_key]])</f>
        <v>1</v>
      </c>
      <c r="G357" s="61">
        <f>tbl_performance[[#This Row],[achieved]]/tbl_performance[[#This Row],[target]]</f>
        <v>0.97222222222222221</v>
      </c>
      <c r="H357" s="60" t="str" cm="1">
        <f t="array" ref="H35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58" spans="1:8" ht="19.8" x14ac:dyDescent="0.65">
      <c r="A358" s="58" t="s">
        <v>95</v>
      </c>
      <c r="B358" s="59">
        <v>45689</v>
      </c>
      <c r="C358" s="60">
        <v>34</v>
      </c>
      <c r="D358" s="60">
        <v>36</v>
      </c>
      <c r="E358" s="60" t="str">
        <f>tbl_performance[[#This Row],[employee_id]]&amp;"-"&amp;TEXT(tbl_performance[[#This Row],[month]],"mm")</f>
        <v>EMP1032-02</v>
      </c>
      <c r="F358" s="60">
        <f>COUNTIF(tbl_performance[employee_month_key],tbl_performance[[#This Row],[employee_month_key]])</f>
        <v>1</v>
      </c>
      <c r="G358" s="61">
        <f>tbl_performance[[#This Row],[achieved]]/tbl_performance[[#This Row],[target]]</f>
        <v>1.0588235294117647</v>
      </c>
      <c r="H358" s="60" t="str" cm="1">
        <f t="array" ref="H358">_xlfn.IFS(tbl_performance[[#This Row],[performance_pct]]&gt;=1.1,"Excellent",tbl_performance[[#This Row],[performance_pct]]&gt;=1,"Good",tbl_performance[[#This Row],[performance_pct]]&gt;=0.85,"Average",TRUE,"Poor")</f>
        <v>Good</v>
      </c>
    </row>
    <row r="359" spans="1:8" ht="19.8" x14ac:dyDescent="0.65">
      <c r="A359" s="58" t="s">
        <v>95</v>
      </c>
      <c r="B359" s="59">
        <v>45717</v>
      </c>
      <c r="C359" s="60">
        <v>37</v>
      </c>
      <c r="D359" s="60">
        <v>39</v>
      </c>
      <c r="E359" s="60" t="str">
        <f>tbl_performance[[#This Row],[employee_id]]&amp;"-"&amp;TEXT(tbl_performance[[#This Row],[month]],"mm")</f>
        <v>EMP1032-03</v>
      </c>
      <c r="F359" s="60">
        <f>COUNTIF(tbl_performance[employee_month_key],tbl_performance[[#This Row],[employee_month_key]])</f>
        <v>1</v>
      </c>
      <c r="G359" s="61">
        <f>tbl_performance[[#This Row],[achieved]]/tbl_performance[[#This Row],[target]]</f>
        <v>1.0540540540540539</v>
      </c>
      <c r="H359" s="60" t="str" cm="1">
        <f t="array" ref="H359">_xlfn.IFS(tbl_performance[[#This Row],[performance_pct]]&gt;=1.1,"Excellent",tbl_performance[[#This Row],[performance_pct]]&gt;=1,"Good",tbl_performance[[#This Row],[performance_pct]]&gt;=0.85,"Average",TRUE,"Poor")</f>
        <v>Good</v>
      </c>
    </row>
    <row r="360" spans="1:8" ht="19.8" x14ac:dyDescent="0.65">
      <c r="A360" s="58" t="s">
        <v>95</v>
      </c>
      <c r="B360" s="59">
        <v>45748</v>
      </c>
      <c r="C360" s="60">
        <v>36</v>
      </c>
      <c r="D360" s="60">
        <v>36</v>
      </c>
      <c r="E360" s="60" t="str">
        <f>tbl_performance[[#This Row],[employee_id]]&amp;"-"&amp;TEXT(tbl_performance[[#This Row],[month]],"mm")</f>
        <v>EMP1032-04</v>
      </c>
      <c r="F360" s="60">
        <f>COUNTIF(tbl_performance[employee_month_key],tbl_performance[[#This Row],[employee_month_key]])</f>
        <v>1</v>
      </c>
      <c r="G360" s="61">
        <f>tbl_performance[[#This Row],[achieved]]/tbl_performance[[#This Row],[target]]</f>
        <v>1</v>
      </c>
      <c r="H360" s="60" t="str" cm="1">
        <f t="array" ref="H360">_xlfn.IFS(tbl_performance[[#This Row],[performance_pct]]&gt;=1.1,"Excellent",tbl_performance[[#This Row],[performance_pct]]&gt;=1,"Good",tbl_performance[[#This Row],[performance_pct]]&gt;=0.85,"Average",TRUE,"Poor")</f>
        <v>Good</v>
      </c>
    </row>
    <row r="361" spans="1:8" ht="19.8" x14ac:dyDescent="0.65">
      <c r="A361" s="58" t="s">
        <v>95</v>
      </c>
      <c r="B361" s="59">
        <v>45778</v>
      </c>
      <c r="C361" s="60">
        <v>36</v>
      </c>
      <c r="D361" s="60">
        <v>38</v>
      </c>
      <c r="E361" s="60" t="str">
        <f>tbl_performance[[#This Row],[employee_id]]&amp;"-"&amp;TEXT(tbl_performance[[#This Row],[month]],"mm")</f>
        <v>EMP1032-05</v>
      </c>
      <c r="F361" s="60">
        <f>COUNTIF(tbl_performance[employee_month_key],tbl_performance[[#This Row],[employee_month_key]])</f>
        <v>1</v>
      </c>
      <c r="G361" s="61">
        <f>tbl_performance[[#This Row],[achieved]]/tbl_performance[[#This Row],[target]]</f>
        <v>1.0555555555555556</v>
      </c>
      <c r="H361" s="60" t="str" cm="1">
        <f t="array" ref="H361">_xlfn.IFS(tbl_performance[[#This Row],[performance_pct]]&gt;=1.1,"Excellent",tbl_performance[[#This Row],[performance_pct]]&gt;=1,"Good",tbl_performance[[#This Row],[performance_pct]]&gt;=0.85,"Average",TRUE,"Poor")</f>
        <v>Good</v>
      </c>
    </row>
    <row r="362" spans="1:8" ht="19.8" x14ac:dyDescent="0.65">
      <c r="A362" s="58" t="s">
        <v>95</v>
      </c>
      <c r="B362" s="59">
        <v>45809</v>
      </c>
      <c r="C362" s="60">
        <v>35</v>
      </c>
      <c r="D362" s="60">
        <v>36</v>
      </c>
      <c r="E362" s="60" t="str">
        <f>tbl_performance[[#This Row],[employee_id]]&amp;"-"&amp;TEXT(tbl_performance[[#This Row],[month]],"mm")</f>
        <v>EMP1032-06</v>
      </c>
      <c r="F362" s="60">
        <f>COUNTIF(tbl_performance[employee_month_key],tbl_performance[[#This Row],[employee_month_key]])</f>
        <v>1</v>
      </c>
      <c r="G362" s="61">
        <f>tbl_performance[[#This Row],[achieved]]/tbl_performance[[#This Row],[target]]</f>
        <v>1.0285714285714285</v>
      </c>
      <c r="H362" s="60" t="str" cm="1">
        <f t="array" ref="H362">_xlfn.IFS(tbl_performance[[#This Row],[performance_pct]]&gt;=1.1,"Excellent",tbl_performance[[#This Row],[performance_pct]]&gt;=1,"Good",tbl_performance[[#This Row],[performance_pct]]&gt;=0.85,"Average",TRUE,"Poor")</f>
        <v>Good</v>
      </c>
    </row>
    <row r="363" spans="1:8" ht="19.8" x14ac:dyDescent="0.65">
      <c r="A363" s="58" t="s">
        <v>95</v>
      </c>
      <c r="B363" s="59">
        <v>45839</v>
      </c>
      <c r="C363" s="60">
        <v>36</v>
      </c>
      <c r="D363" s="60">
        <v>35</v>
      </c>
      <c r="E363" s="60" t="str">
        <f>tbl_performance[[#This Row],[employee_id]]&amp;"-"&amp;TEXT(tbl_performance[[#This Row],[month]],"mm")</f>
        <v>EMP1032-07</v>
      </c>
      <c r="F363" s="60">
        <f>COUNTIF(tbl_performance[employee_month_key],tbl_performance[[#This Row],[employee_month_key]])</f>
        <v>1</v>
      </c>
      <c r="G363" s="61">
        <f>tbl_performance[[#This Row],[achieved]]/tbl_performance[[#This Row],[target]]</f>
        <v>0.97222222222222221</v>
      </c>
      <c r="H363" s="60" t="str" cm="1">
        <f t="array" ref="H36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64" spans="1:8" ht="19.8" x14ac:dyDescent="0.65">
      <c r="A364" s="58" t="s">
        <v>95</v>
      </c>
      <c r="B364" s="59">
        <v>45870</v>
      </c>
      <c r="C364" s="60">
        <v>35</v>
      </c>
      <c r="D364" s="60">
        <v>36</v>
      </c>
      <c r="E364" s="60" t="str">
        <f>tbl_performance[[#This Row],[employee_id]]&amp;"-"&amp;TEXT(tbl_performance[[#This Row],[month]],"mm")</f>
        <v>EMP1032-08</v>
      </c>
      <c r="F364" s="60">
        <f>COUNTIF(tbl_performance[employee_month_key],tbl_performance[[#This Row],[employee_month_key]])</f>
        <v>1</v>
      </c>
      <c r="G364" s="61">
        <f>tbl_performance[[#This Row],[achieved]]/tbl_performance[[#This Row],[target]]</f>
        <v>1.0285714285714285</v>
      </c>
      <c r="H364" s="60" t="str" cm="1">
        <f t="array" ref="H364">_xlfn.IFS(tbl_performance[[#This Row],[performance_pct]]&gt;=1.1,"Excellent",tbl_performance[[#This Row],[performance_pct]]&gt;=1,"Good",tbl_performance[[#This Row],[performance_pct]]&gt;=0.85,"Average",TRUE,"Poor")</f>
        <v>Good</v>
      </c>
    </row>
    <row r="365" spans="1:8" ht="19.8" x14ac:dyDescent="0.65">
      <c r="A365" s="58" t="s">
        <v>95</v>
      </c>
      <c r="B365" s="59">
        <v>45901</v>
      </c>
      <c r="C365" s="60">
        <v>36</v>
      </c>
      <c r="D365" s="60">
        <v>37</v>
      </c>
      <c r="E365" s="60" t="str">
        <f>tbl_performance[[#This Row],[employee_id]]&amp;"-"&amp;TEXT(tbl_performance[[#This Row],[month]],"mm")</f>
        <v>EMP1032-09</v>
      </c>
      <c r="F365" s="60">
        <f>COUNTIF(tbl_performance[employee_month_key],tbl_performance[[#This Row],[employee_month_key]])</f>
        <v>1</v>
      </c>
      <c r="G365" s="61">
        <f>tbl_performance[[#This Row],[achieved]]/tbl_performance[[#This Row],[target]]</f>
        <v>1.0277777777777777</v>
      </c>
      <c r="H365" s="60" t="str" cm="1">
        <f t="array" ref="H365">_xlfn.IFS(tbl_performance[[#This Row],[performance_pct]]&gt;=1.1,"Excellent",tbl_performance[[#This Row],[performance_pct]]&gt;=1,"Good",tbl_performance[[#This Row],[performance_pct]]&gt;=0.85,"Average",TRUE,"Poor")</f>
        <v>Good</v>
      </c>
    </row>
    <row r="366" spans="1:8" ht="19.8" x14ac:dyDescent="0.65">
      <c r="A366" s="58" t="s">
        <v>95</v>
      </c>
      <c r="B366" s="59">
        <v>45931</v>
      </c>
      <c r="C366" s="60">
        <v>37</v>
      </c>
      <c r="D366" s="60">
        <v>36</v>
      </c>
      <c r="E366" s="60" t="str">
        <f>tbl_performance[[#This Row],[employee_id]]&amp;"-"&amp;TEXT(tbl_performance[[#This Row],[month]],"mm")</f>
        <v>EMP1032-10</v>
      </c>
      <c r="F366" s="60">
        <f>COUNTIF(tbl_performance[employee_month_key],tbl_performance[[#This Row],[employee_month_key]])</f>
        <v>1</v>
      </c>
      <c r="G366" s="61">
        <f>tbl_performance[[#This Row],[achieved]]/tbl_performance[[#This Row],[target]]</f>
        <v>0.97297297297297303</v>
      </c>
      <c r="H366" s="60" t="str" cm="1">
        <f t="array" ref="H36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67" spans="1:8" ht="19.8" x14ac:dyDescent="0.65">
      <c r="A367" s="58" t="s">
        <v>95</v>
      </c>
      <c r="B367" s="59">
        <v>45962</v>
      </c>
      <c r="C367" s="60">
        <v>36</v>
      </c>
      <c r="D367" s="60">
        <v>36</v>
      </c>
      <c r="E367" s="60" t="str">
        <f>tbl_performance[[#This Row],[employee_id]]&amp;"-"&amp;TEXT(tbl_performance[[#This Row],[month]],"mm")</f>
        <v>EMP1032-11</v>
      </c>
      <c r="F367" s="60">
        <f>COUNTIF(tbl_performance[employee_month_key],tbl_performance[[#This Row],[employee_month_key]])</f>
        <v>1</v>
      </c>
      <c r="G367" s="61">
        <f>tbl_performance[[#This Row],[achieved]]/tbl_performance[[#This Row],[target]]</f>
        <v>1</v>
      </c>
      <c r="H367" s="60" t="str" cm="1">
        <f t="array" ref="H367">_xlfn.IFS(tbl_performance[[#This Row],[performance_pct]]&gt;=1.1,"Excellent",tbl_performance[[#This Row],[performance_pct]]&gt;=1,"Good",tbl_performance[[#This Row],[performance_pct]]&gt;=0.85,"Average",TRUE,"Poor")</f>
        <v>Good</v>
      </c>
    </row>
    <row r="368" spans="1:8" ht="19.8" x14ac:dyDescent="0.65">
      <c r="A368" s="58" t="s">
        <v>95</v>
      </c>
      <c r="B368" s="59">
        <v>45992</v>
      </c>
      <c r="C368" s="60">
        <v>31</v>
      </c>
      <c r="D368" s="60">
        <v>29</v>
      </c>
      <c r="E368" s="60" t="str">
        <f>tbl_performance[[#This Row],[employee_id]]&amp;"-"&amp;TEXT(tbl_performance[[#This Row],[month]],"mm")</f>
        <v>EMP1032-12</v>
      </c>
      <c r="F368" s="60">
        <f>COUNTIF(tbl_performance[employee_month_key],tbl_performance[[#This Row],[employee_month_key]])</f>
        <v>1</v>
      </c>
      <c r="G368" s="61">
        <f>tbl_performance[[#This Row],[achieved]]/tbl_performance[[#This Row],[target]]</f>
        <v>0.93548387096774188</v>
      </c>
      <c r="H368" s="60" t="str" cm="1">
        <f t="array" ref="H36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69" spans="1:8" ht="19.8" x14ac:dyDescent="0.65">
      <c r="A369" s="58" t="s">
        <v>98</v>
      </c>
      <c r="B369" s="59">
        <v>45658</v>
      </c>
      <c r="C369" s="60">
        <v>54</v>
      </c>
      <c r="D369" s="60">
        <v>56</v>
      </c>
      <c r="E369" s="60" t="str">
        <f>tbl_performance[[#This Row],[employee_id]]&amp;"-"&amp;TEXT(tbl_performance[[#This Row],[month]],"mm")</f>
        <v>EMP1033-01</v>
      </c>
      <c r="F369" s="60">
        <f>COUNTIF(tbl_performance[employee_month_key],tbl_performance[[#This Row],[employee_month_key]])</f>
        <v>1</v>
      </c>
      <c r="G369" s="61">
        <f>tbl_performance[[#This Row],[achieved]]/tbl_performance[[#This Row],[target]]</f>
        <v>1.037037037037037</v>
      </c>
      <c r="H369" s="60" t="str" cm="1">
        <f t="array" ref="H369">_xlfn.IFS(tbl_performance[[#This Row],[performance_pct]]&gt;=1.1,"Excellent",tbl_performance[[#This Row],[performance_pct]]&gt;=1,"Good",tbl_performance[[#This Row],[performance_pct]]&gt;=0.85,"Average",TRUE,"Poor")</f>
        <v>Good</v>
      </c>
    </row>
    <row r="370" spans="1:8" ht="19.8" x14ac:dyDescent="0.65">
      <c r="A370" s="58" t="s">
        <v>98</v>
      </c>
      <c r="B370" s="59">
        <v>45689</v>
      </c>
      <c r="C370" s="60">
        <v>50</v>
      </c>
      <c r="D370" s="60">
        <v>54</v>
      </c>
      <c r="E370" s="60" t="str">
        <f>tbl_performance[[#This Row],[employee_id]]&amp;"-"&amp;TEXT(tbl_performance[[#This Row],[month]],"mm")</f>
        <v>EMP1033-02</v>
      </c>
      <c r="F370" s="60">
        <f>COUNTIF(tbl_performance[employee_month_key],tbl_performance[[#This Row],[employee_month_key]])</f>
        <v>1</v>
      </c>
      <c r="G370" s="61">
        <f>tbl_performance[[#This Row],[achieved]]/tbl_performance[[#This Row],[target]]</f>
        <v>1.08</v>
      </c>
      <c r="H370" s="60" t="str" cm="1">
        <f t="array" ref="H370">_xlfn.IFS(tbl_performance[[#This Row],[performance_pct]]&gt;=1.1,"Excellent",tbl_performance[[#This Row],[performance_pct]]&gt;=1,"Good",tbl_performance[[#This Row],[performance_pct]]&gt;=0.85,"Average",TRUE,"Poor")</f>
        <v>Good</v>
      </c>
    </row>
    <row r="371" spans="1:8" ht="19.8" x14ac:dyDescent="0.65">
      <c r="A371" s="58" t="s">
        <v>98</v>
      </c>
      <c r="B371" s="59">
        <v>45717</v>
      </c>
      <c r="C371" s="60">
        <v>55</v>
      </c>
      <c r="D371" s="60">
        <v>53</v>
      </c>
      <c r="E371" s="60" t="str">
        <f>tbl_performance[[#This Row],[employee_id]]&amp;"-"&amp;TEXT(tbl_performance[[#This Row],[month]],"mm")</f>
        <v>EMP1033-03</v>
      </c>
      <c r="F371" s="60">
        <f>COUNTIF(tbl_performance[employee_month_key],tbl_performance[[#This Row],[employee_month_key]])</f>
        <v>1</v>
      </c>
      <c r="G371" s="61">
        <f>tbl_performance[[#This Row],[achieved]]/tbl_performance[[#This Row],[target]]</f>
        <v>0.96363636363636362</v>
      </c>
      <c r="H371" s="60" t="str" cm="1">
        <f t="array" ref="H37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72" spans="1:8" ht="19.8" x14ac:dyDescent="0.65">
      <c r="A372" s="58" t="s">
        <v>98</v>
      </c>
      <c r="B372" s="59">
        <v>45748</v>
      </c>
      <c r="C372" s="60">
        <v>54</v>
      </c>
      <c r="D372" s="60">
        <v>56</v>
      </c>
      <c r="E372" s="60" t="str">
        <f>tbl_performance[[#This Row],[employee_id]]&amp;"-"&amp;TEXT(tbl_performance[[#This Row],[month]],"mm")</f>
        <v>EMP1033-04</v>
      </c>
      <c r="F372" s="60">
        <f>COUNTIF(tbl_performance[employee_month_key],tbl_performance[[#This Row],[employee_month_key]])</f>
        <v>1</v>
      </c>
      <c r="G372" s="61">
        <f>tbl_performance[[#This Row],[achieved]]/tbl_performance[[#This Row],[target]]</f>
        <v>1.037037037037037</v>
      </c>
      <c r="H372" s="60" t="str" cm="1">
        <f t="array" ref="H372">_xlfn.IFS(tbl_performance[[#This Row],[performance_pct]]&gt;=1.1,"Excellent",tbl_performance[[#This Row],[performance_pct]]&gt;=1,"Good",tbl_performance[[#This Row],[performance_pct]]&gt;=0.85,"Average",TRUE,"Poor")</f>
        <v>Good</v>
      </c>
    </row>
    <row r="373" spans="1:8" ht="19.8" x14ac:dyDescent="0.65">
      <c r="A373" s="58" t="s">
        <v>98</v>
      </c>
      <c r="B373" s="59">
        <v>45778</v>
      </c>
      <c r="C373" s="60">
        <v>54</v>
      </c>
      <c r="D373" s="60">
        <v>54</v>
      </c>
      <c r="E373" s="60" t="str">
        <f>tbl_performance[[#This Row],[employee_id]]&amp;"-"&amp;TEXT(tbl_performance[[#This Row],[month]],"mm")</f>
        <v>EMP1033-05</v>
      </c>
      <c r="F373" s="60">
        <f>COUNTIF(tbl_performance[employee_month_key],tbl_performance[[#This Row],[employee_month_key]])</f>
        <v>1</v>
      </c>
      <c r="G373" s="61">
        <f>tbl_performance[[#This Row],[achieved]]/tbl_performance[[#This Row],[target]]</f>
        <v>1</v>
      </c>
      <c r="H373" s="60" t="str" cm="1">
        <f t="array" ref="H373">_xlfn.IFS(tbl_performance[[#This Row],[performance_pct]]&gt;=1.1,"Excellent",tbl_performance[[#This Row],[performance_pct]]&gt;=1,"Good",tbl_performance[[#This Row],[performance_pct]]&gt;=0.85,"Average",TRUE,"Poor")</f>
        <v>Good</v>
      </c>
    </row>
    <row r="374" spans="1:8" ht="19.8" x14ac:dyDescent="0.65">
      <c r="A374" s="58" t="s">
        <v>98</v>
      </c>
      <c r="B374" s="59">
        <v>45809</v>
      </c>
      <c r="C374" s="60">
        <v>53</v>
      </c>
      <c r="D374" s="60">
        <v>53</v>
      </c>
      <c r="E374" s="60" t="str">
        <f>tbl_performance[[#This Row],[employee_id]]&amp;"-"&amp;TEXT(tbl_performance[[#This Row],[month]],"mm")</f>
        <v>EMP1033-06</v>
      </c>
      <c r="F374" s="60">
        <f>COUNTIF(tbl_performance[employee_month_key],tbl_performance[[#This Row],[employee_month_key]])</f>
        <v>1</v>
      </c>
      <c r="G374" s="61">
        <f>tbl_performance[[#This Row],[achieved]]/tbl_performance[[#This Row],[target]]</f>
        <v>1</v>
      </c>
      <c r="H374" s="60" t="str" cm="1">
        <f t="array" ref="H374">_xlfn.IFS(tbl_performance[[#This Row],[performance_pct]]&gt;=1.1,"Excellent",tbl_performance[[#This Row],[performance_pct]]&gt;=1,"Good",tbl_performance[[#This Row],[performance_pct]]&gt;=0.85,"Average",TRUE,"Poor")</f>
        <v>Good</v>
      </c>
    </row>
    <row r="375" spans="1:8" ht="19.8" x14ac:dyDescent="0.65">
      <c r="A375" s="58" t="s">
        <v>98</v>
      </c>
      <c r="B375" s="59">
        <v>45839</v>
      </c>
      <c r="C375" s="60">
        <v>54</v>
      </c>
      <c r="D375" s="60">
        <v>54</v>
      </c>
      <c r="E375" s="60" t="str">
        <f>tbl_performance[[#This Row],[employee_id]]&amp;"-"&amp;TEXT(tbl_performance[[#This Row],[month]],"mm")</f>
        <v>EMP1033-07</v>
      </c>
      <c r="F375" s="60">
        <f>COUNTIF(tbl_performance[employee_month_key],tbl_performance[[#This Row],[employee_month_key]])</f>
        <v>1</v>
      </c>
      <c r="G375" s="61">
        <f>tbl_performance[[#This Row],[achieved]]/tbl_performance[[#This Row],[target]]</f>
        <v>1</v>
      </c>
      <c r="H375" s="60" t="str" cm="1">
        <f t="array" ref="H375">_xlfn.IFS(tbl_performance[[#This Row],[performance_pct]]&gt;=1.1,"Excellent",tbl_performance[[#This Row],[performance_pct]]&gt;=1,"Good",tbl_performance[[#This Row],[performance_pct]]&gt;=0.85,"Average",TRUE,"Poor")</f>
        <v>Good</v>
      </c>
    </row>
    <row r="376" spans="1:8" ht="19.8" x14ac:dyDescent="0.65">
      <c r="A376" s="58" t="s">
        <v>98</v>
      </c>
      <c r="B376" s="59">
        <v>45870</v>
      </c>
      <c r="C376" s="60">
        <v>52</v>
      </c>
      <c r="D376" s="60">
        <v>50</v>
      </c>
      <c r="E376" s="60" t="str">
        <f>tbl_performance[[#This Row],[employee_id]]&amp;"-"&amp;TEXT(tbl_performance[[#This Row],[month]],"mm")</f>
        <v>EMP1033-08</v>
      </c>
      <c r="F376" s="60">
        <f>COUNTIF(tbl_performance[employee_month_key],tbl_performance[[#This Row],[employee_month_key]])</f>
        <v>1</v>
      </c>
      <c r="G376" s="61">
        <f>tbl_performance[[#This Row],[achieved]]/tbl_performance[[#This Row],[target]]</f>
        <v>0.96153846153846156</v>
      </c>
      <c r="H376" s="60" t="str" cm="1">
        <f t="array" ref="H37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77" spans="1:8" ht="19.8" x14ac:dyDescent="0.65">
      <c r="A377" s="58" t="s">
        <v>98</v>
      </c>
      <c r="B377" s="59">
        <v>45901</v>
      </c>
      <c r="C377" s="60">
        <v>54</v>
      </c>
      <c r="D377" s="60">
        <v>55</v>
      </c>
      <c r="E377" s="60" t="str">
        <f>tbl_performance[[#This Row],[employee_id]]&amp;"-"&amp;TEXT(tbl_performance[[#This Row],[month]],"mm")</f>
        <v>EMP1033-09</v>
      </c>
      <c r="F377" s="60">
        <f>COUNTIF(tbl_performance[employee_month_key],tbl_performance[[#This Row],[employee_month_key]])</f>
        <v>1</v>
      </c>
      <c r="G377" s="61">
        <f>tbl_performance[[#This Row],[achieved]]/tbl_performance[[#This Row],[target]]</f>
        <v>1.0185185185185186</v>
      </c>
      <c r="H377" s="60" t="str" cm="1">
        <f t="array" ref="H377">_xlfn.IFS(tbl_performance[[#This Row],[performance_pct]]&gt;=1.1,"Excellent",tbl_performance[[#This Row],[performance_pct]]&gt;=1,"Good",tbl_performance[[#This Row],[performance_pct]]&gt;=0.85,"Average",TRUE,"Poor")</f>
        <v>Good</v>
      </c>
    </row>
    <row r="378" spans="1:8" ht="19.8" x14ac:dyDescent="0.65">
      <c r="A378" s="58" t="s">
        <v>98</v>
      </c>
      <c r="B378" s="59">
        <v>45931</v>
      </c>
      <c r="C378" s="60">
        <v>55</v>
      </c>
      <c r="D378" s="60">
        <v>55</v>
      </c>
      <c r="E378" s="60" t="str">
        <f>tbl_performance[[#This Row],[employee_id]]&amp;"-"&amp;TEXT(tbl_performance[[#This Row],[month]],"mm")</f>
        <v>EMP1033-10</v>
      </c>
      <c r="F378" s="60">
        <f>COUNTIF(tbl_performance[employee_month_key],tbl_performance[[#This Row],[employee_month_key]])</f>
        <v>1</v>
      </c>
      <c r="G378" s="61">
        <f>tbl_performance[[#This Row],[achieved]]/tbl_performance[[#This Row],[target]]</f>
        <v>1</v>
      </c>
      <c r="H378" s="60" t="str" cm="1">
        <f t="array" ref="H378">_xlfn.IFS(tbl_performance[[#This Row],[performance_pct]]&gt;=1.1,"Excellent",tbl_performance[[#This Row],[performance_pct]]&gt;=1,"Good",tbl_performance[[#This Row],[performance_pct]]&gt;=0.85,"Average",TRUE,"Poor")</f>
        <v>Good</v>
      </c>
    </row>
    <row r="379" spans="1:8" ht="19.8" x14ac:dyDescent="0.65">
      <c r="A379" s="58" t="s">
        <v>98</v>
      </c>
      <c r="B379" s="59">
        <v>45962</v>
      </c>
      <c r="C379" s="60">
        <v>54</v>
      </c>
      <c r="D379" s="60">
        <v>56</v>
      </c>
      <c r="E379" s="60" t="str">
        <f>tbl_performance[[#This Row],[employee_id]]&amp;"-"&amp;TEXT(tbl_performance[[#This Row],[month]],"mm")</f>
        <v>EMP1033-11</v>
      </c>
      <c r="F379" s="60">
        <f>COUNTIF(tbl_performance[employee_month_key],tbl_performance[[#This Row],[employee_month_key]])</f>
        <v>1</v>
      </c>
      <c r="G379" s="61">
        <f>tbl_performance[[#This Row],[achieved]]/tbl_performance[[#This Row],[target]]</f>
        <v>1.037037037037037</v>
      </c>
      <c r="H379" s="60" t="str" cm="1">
        <f t="array" ref="H379">_xlfn.IFS(tbl_performance[[#This Row],[performance_pct]]&gt;=1.1,"Excellent",tbl_performance[[#This Row],[performance_pct]]&gt;=1,"Good",tbl_performance[[#This Row],[performance_pct]]&gt;=0.85,"Average",TRUE,"Poor")</f>
        <v>Good</v>
      </c>
    </row>
    <row r="380" spans="1:8" ht="19.8" x14ac:dyDescent="0.65">
      <c r="A380" s="58" t="s">
        <v>98</v>
      </c>
      <c r="B380" s="59">
        <v>45992</v>
      </c>
      <c r="C380" s="60">
        <v>46</v>
      </c>
      <c r="D380" s="60">
        <v>45</v>
      </c>
      <c r="E380" s="60" t="str">
        <f>tbl_performance[[#This Row],[employee_id]]&amp;"-"&amp;TEXT(tbl_performance[[#This Row],[month]],"mm")</f>
        <v>EMP1033-12</v>
      </c>
      <c r="F380" s="60">
        <f>COUNTIF(tbl_performance[employee_month_key],tbl_performance[[#This Row],[employee_month_key]])</f>
        <v>1</v>
      </c>
      <c r="G380" s="61">
        <f>tbl_performance[[#This Row],[achieved]]/tbl_performance[[#This Row],[target]]</f>
        <v>0.97826086956521741</v>
      </c>
      <c r="H380" s="60" t="str" cm="1">
        <f t="array" ref="H38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81" spans="1:8" ht="19.8" x14ac:dyDescent="0.65">
      <c r="A381" s="58" t="s">
        <v>100</v>
      </c>
      <c r="B381" s="59">
        <v>45658</v>
      </c>
      <c r="C381" s="60">
        <v>198</v>
      </c>
      <c r="D381" s="60">
        <v>205</v>
      </c>
      <c r="E381" s="60" t="str">
        <f>tbl_performance[[#This Row],[employee_id]]&amp;"-"&amp;TEXT(tbl_performance[[#This Row],[month]],"mm")</f>
        <v>EMP1034-01</v>
      </c>
      <c r="F381" s="60">
        <f>COUNTIF(tbl_performance[employee_month_key],tbl_performance[[#This Row],[employee_month_key]])</f>
        <v>1</v>
      </c>
      <c r="G381" s="61">
        <f>tbl_performance[[#This Row],[achieved]]/tbl_performance[[#This Row],[target]]</f>
        <v>1.0353535353535352</v>
      </c>
      <c r="H381" s="60" t="str" cm="1">
        <f t="array" ref="H381">_xlfn.IFS(tbl_performance[[#This Row],[performance_pct]]&gt;=1.1,"Excellent",tbl_performance[[#This Row],[performance_pct]]&gt;=1,"Good",tbl_performance[[#This Row],[performance_pct]]&gt;=0.85,"Average",TRUE,"Poor")</f>
        <v>Good</v>
      </c>
    </row>
    <row r="382" spans="1:8" ht="19.8" x14ac:dyDescent="0.65">
      <c r="A382" s="58" t="s">
        <v>100</v>
      </c>
      <c r="B382" s="59">
        <v>45689</v>
      </c>
      <c r="C382" s="60">
        <v>184</v>
      </c>
      <c r="D382" s="60">
        <v>193</v>
      </c>
      <c r="E382" s="60" t="str">
        <f>tbl_performance[[#This Row],[employee_id]]&amp;"-"&amp;TEXT(tbl_performance[[#This Row],[month]],"mm")</f>
        <v>EMP1034-02</v>
      </c>
      <c r="F382" s="60">
        <f>COUNTIF(tbl_performance[employee_month_key],tbl_performance[[#This Row],[employee_month_key]])</f>
        <v>1</v>
      </c>
      <c r="G382" s="61">
        <f>tbl_performance[[#This Row],[achieved]]/tbl_performance[[#This Row],[target]]</f>
        <v>1.048913043478261</v>
      </c>
      <c r="H382" s="60" t="str" cm="1">
        <f t="array" ref="H382">_xlfn.IFS(tbl_performance[[#This Row],[performance_pct]]&gt;=1.1,"Excellent",tbl_performance[[#This Row],[performance_pct]]&gt;=1,"Good",tbl_performance[[#This Row],[performance_pct]]&gt;=0.85,"Average",TRUE,"Poor")</f>
        <v>Good</v>
      </c>
    </row>
    <row r="383" spans="1:8" ht="19.8" x14ac:dyDescent="0.65">
      <c r="A383" s="58" t="s">
        <v>100</v>
      </c>
      <c r="B383" s="59">
        <v>45717</v>
      </c>
      <c r="C383" s="60">
        <v>202</v>
      </c>
      <c r="D383" s="60">
        <v>221</v>
      </c>
      <c r="E383" s="60" t="str">
        <f>tbl_performance[[#This Row],[employee_id]]&amp;"-"&amp;TEXT(tbl_performance[[#This Row],[month]],"mm")</f>
        <v>EMP1034-03</v>
      </c>
      <c r="F383" s="60">
        <f>COUNTIF(tbl_performance[employee_month_key],tbl_performance[[#This Row],[employee_month_key]])</f>
        <v>1</v>
      </c>
      <c r="G383" s="61">
        <f>tbl_performance[[#This Row],[achieved]]/tbl_performance[[#This Row],[target]]</f>
        <v>1.0940594059405941</v>
      </c>
      <c r="H383" s="60" t="str" cm="1">
        <f t="array" ref="H383">_xlfn.IFS(tbl_performance[[#This Row],[performance_pct]]&gt;=1.1,"Excellent",tbl_performance[[#This Row],[performance_pct]]&gt;=1,"Good",tbl_performance[[#This Row],[performance_pct]]&gt;=0.85,"Average",TRUE,"Poor")</f>
        <v>Good</v>
      </c>
    </row>
    <row r="384" spans="1:8" ht="19.8" x14ac:dyDescent="0.65">
      <c r="A384" s="58" t="s">
        <v>100</v>
      </c>
      <c r="B384" s="59">
        <v>45748</v>
      </c>
      <c r="C384" s="60">
        <v>198</v>
      </c>
      <c r="D384" s="60">
        <v>215</v>
      </c>
      <c r="E384" s="60" t="str">
        <f>tbl_performance[[#This Row],[employee_id]]&amp;"-"&amp;TEXT(tbl_performance[[#This Row],[month]],"mm")</f>
        <v>EMP1034-04</v>
      </c>
      <c r="F384" s="60">
        <f>COUNTIF(tbl_performance[employee_month_key],tbl_performance[[#This Row],[employee_month_key]])</f>
        <v>1</v>
      </c>
      <c r="G384" s="61">
        <f>tbl_performance[[#This Row],[achieved]]/tbl_performance[[#This Row],[target]]</f>
        <v>1.0858585858585859</v>
      </c>
      <c r="H384" s="60" t="str" cm="1">
        <f t="array" ref="H384">_xlfn.IFS(tbl_performance[[#This Row],[performance_pct]]&gt;=1.1,"Excellent",tbl_performance[[#This Row],[performance_pct]]&gt;=1,"Good",tbl_performance[[#This Row],[performance_pct]]&gt;=0.85,"Average",TRUE,"Poor")</f>
        <v>Good</v>
      </c>
    </row>
    <row r="385" spans="1:8" ht="19.8" x14ac:dyDescent="0.65">
      <c r="A385" s="58" t="s">
        <v>100</v>
      </c>
      <c r="B385" s="59">
        <v>45778</v>
      </c>
      <c r="C385" s="60">
        <v>198</v>
      </c>
      <c r="D385" s="60">
        <v>205</v>
      </c>
      <c r="E385" s="60" t="str">
        <f>tbl_performance[[#This Row],[employee_id]]&amp;"-"&amp;TEXT(tbl_performance[[#This Row],[month]],"mm")</f>
        <v>EMP1034-05</v>
      </c>
      <c r="F385" s="60">
        <f>COUNTIF(tbl_performance[employee_month_key],tbl_performance[[#This Row],[employee_month_key]])</f>
        <v>1</v>
      </c>
      <c r="G385" s="61">
        <f>tbl_performance[[#This Row],[achieved]]/tbl_performance[[#This Row],[target]]</f>
        <v>1.0353535353535352</v>
      </c>
      <c r="H385" s="60" t="str" cm="1">
        <f t="array" ref="H385">_xlfn.IFS(tbl_performance[[#This Row],[performance_pct]]&gt;=1.1,"Excellent",tbl_performance[[#This Row],[performance_pct]]&gt;=1,"Good",tbl_performance[[#This Row],[performance_pct]]&gt;=0.85,"Average",TRUE,"Poor")</f>
        <v>Good</v>
      </c>
    </row>
    <row r="386" spans="1:8" ht="19.8" x14ac:dyDescent="0.65">
      <c r="A386" s="58" t="s">
        <v>100</v>
      </c>
      <c r="B386" s="59">
        <v>45809</v>
      </c>
      <c r="C386" s="60">
        <v>194</v>
      </c>
      <c r="D386" s="60">
        <v>208</v>
      </c>
      <c r="E386" s="60" t="str">
        <f>tbl_performance[[#This Row],[employee_id]]&amp;"-"&amp;TEXT(tbl_performance[[#This Row],[month]],"mm")</f>
        <v>EMP1034-06</v>
      </c>
      <c r="F386" s="60">
        <f>COUNTIF(tbl_performance[employee_month_key],tbl_performance[[#This Row],[employee_month_key]])</f>
        <v>1</v>
      </c>
      <c r="G386" s="61">
        <f>tbl_performance[[#This Row],[achieved]]/tbl_performance[[#This Row],[target]]</f>
        <v>1.0721649484536082</v>
      </c>
      <c r="H386" s="60" t="str" cm="1">
        <f t="array" ref="H386">_xlfn.IFS(tbl_performance[[#This Row],[performance_pct]]&gt;=1.1,"Excellent",tbl_performance[[#This Row],[performance_pct]]&gt;=1,"Good",tbl_performance[[#This Row],[performance_pct]]&gt;=0.85,"Average",TRUE,"Poor")</f>
        <v>Good</v>
      </c>
    </row>
    <row r="387" spans="1:8" ht="19.8" x14ac:dyDescent="0.65">
      <c r="A387" s="58" t="s">
        <v>100</v>
      </c>
      <c r="B387" s="59">
        <v>45839</v>
      </c>
      <c r="C387" s="60">
        <v>198</v>
      </c>
      <c r="D387" s="60">
        <v>217</v>
      </c>
      <c r="E387" s="60" t="str">
        <f>tbl_performance[[#This Row],[employee_id]]&amp;"-"&amp;TEXT(tbl_performance[[#This Row],[month]],"mm")</f>
        <v>EMP1034-07</v>
      </c>
      <c r="F387" s="60">
        <f>COUNTIF(tbl_performance[employee_month_key],tbl_performance[[#This Row],[employee_month_key]])</f>
        <v>1</v>
      </c>
      <c r="G387" s="61">
        <f>tbl_performance[[#This Row],[achieved]]/tbl_performance[[#This Row],[target]]</f>
        <v>1.095959595959596</v>
      </c>
      <c r="H387" s="60" t="str" cm="1">
        <f t="array" ref="H387">_xlfn.IFS(tbl_performance[[#This Row],[performance_pct]]&gt;=1.1,"Excellent",tbl_performance[[#This Row],[performance_pct]]&gt;=1,"Good",tbl_performance[[#This Row],[performance_pct]]&gt;=0.85,"Average",TRUE,"Poor")</f>
        <v>Good</v>
      </c>
    </row>
    <row r="388" spans="1:8" ht="19.8" x14ac:dyDescent="0.65">
      <c r="A388" s="58" t="s">
        <v>100</v>
      </c>
      <c r="B388" s="59">
        <v>45870</v>
      </c>
      <c r="C388" s="60">
        <v>192</v>
      </c>
      <c r="D388" s="60">
        <v>189</v>
      </c>
      <c r="E388" s="60" t="str">
        <f>tbl_performance[[#This Row],[employee_id]]&amp;"-"&amp;TEXT(tbl_performance[[#This Row],[month]],"mm")</f>
        <v>EMP1034-08</v>
      </c>
      <c r="F388" s="60">
        <f>COUNTIF(tbl_performance[employee_month_key],tbl_performance[[#This Row],[employee_month_key]])</f>
        <v>1</v>
      </c>
      <c r="G388" s="61">
        <f>tbl_performance[[#This Row],[achieved]]/tbl_performance[[#This Row],[target]]</f>
        <v>0.984375</v>
      </c>
      <c r="H388" s="60" t="str" cm="1">
        <f t="array" ref="H3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389" spans="1:8" ht="19.8" x14ac:dyDescent="0.65">
      <c r="A389" s="58" t="s">
        <v>100</v>
      </c>
      <c r="B389" s="59">
        <v>45901</v>
      </c>
      <c r="C389" s="60">
        <v>198</v>
      </c>
      <c r="D389" s="60">
        <v>216</v>
      </c>
      <c r="E389" s="60" t="str">
        <f>tbl_performance[[#This Row],[employee_id]]&amp;"-"&amp;TEXT(tbl_performance[[#This Row],[month]],"mm")</f>
        <v>EMP1034-09</v>
      </c>
      <c r="F389" s="60">
        <f>COUNTIF(tbl_performance[employee_month_key],tbl_performance[[#This Row],[employee_month_key]])</f>
        <v>1</v>
      </c>
      <c r="G389" s="61">
        <f>tbl_performance[[#This Row],[achieved]]/tbl_performance[[#This Row],[target]]</f>
        <v>1.0909090909090908</v>
      </c>
      <c r="H389" s="60" t="str" cm="1">
        <f t="array" ref="H389">_xlfn.IFS(tbl_performance[[#This Row],[performance_pct]]&gt;=1.1,"Excellent",tbl_performance[[#This Row],[performance_pct]]&gt;=1,"Good",tbl_performance[[#This Row],[performance_pct]]&gt;=0.85,"Average",TRUE,"Poor")</f>
        <v>Good</v>
      </c>
    </row>
    <row r="390" spans="1:8" ht="19.8" x14ac:dyDescent="0.65">
      <c r="A390" s="58" t="s">
        <v>100</v>
      </c>
      <c r="B390" s="59">
        <v>45931</v>
      </c>
      <c r="C390" s="60">
        <v>202</v>
      </c>
      <c r="D390" s="60">
        <v>212</v>
      </c>
      <c r="E390" s="60" t="str">
        <f>tbl_performance[[#This Row],[employee_id]]&amp;"-"&amp;TEXT(tbl_performance[[#This Row],[month]],"mm")</f>
        <v>EMP1034-10</v>
      </c>
      <c r="F390" s="60">
        <f>COUNTIF(tbl_performance[employee_month_key],tbl_performance[[#This Row],[employee_month_key]])</f>
        <v>1</v>
      </c>
      <c r="G390" s="61">
        <f>tbl_performance[[#This Row],[achieved]]/tbl_performance[[#This Row],[target]]</f>
        <v>1.0495049504950495</v>
      </c>
      <c r="H390" s="60" t="str" cm="1">
        <f t="array" ref="H390">_xlfn.IFS(tbl_performance[[#This Row],[performance_pct]]&gt;=1.1,"Excellent",tbl_performance[[#This Row],[performance_pct]]&gt;=1,"Good",tbl_performance[[#This Row],[performance_pct]]&gt;=0.85,"Average",TRUE,"Poor")</f>
        <v>Good</v>
      </c>
    </row>
    <row r="391" spans="1:8" ht="19.8" x14ac:dyDescent="0.65">
      <c r="A391" s="58" t="s">
        <v>100</v>
      </c>
      <c r="B391" s="59">
        <v>45962</v>
      </c>
      <c r="C391" s="60">
        <v>198</v>
      </c>
      <c r="D391" s="60">
        <v>217</v>
      </c>
      <c r="E391" s="60" t="str">
        <f>tbl_performance[[#This Row],[employee_id]]&amp;"-"&amp;TEXT(tbl_performance[[#This Row],[month]],"mm")</f>
        <v>EMP1034-11</v>
      </c>
      <c r="F391" s="60">
        <f>COUNTIF(tbl_performance[employee_month_key],tbl_performance[[#This Row],[employee_month_key]])</f>
        <v>1</v>
      </c>
      <c r="G391" s="61">
        <f>tbl_performance[[#This Row],[achieved]]/tbl_performance[[#This Row],[target]]</f>
        <v>1.095959595959596</v>
      </c>
      <c r="H391" s="60" t="str" cm="1">
        <f t="array" ref="H391">_xlfn.IFS(tbl_performance[[#This Row],[performance_pct]]&gt;=1.1,"Excellent",tbl_performance[[#This Row],[performance_pct]]&gt;=1,"Good",tbl_performance[[#This Row],[performance_pct]]&gt;=0.85,"Average",TRUE,"Poor")</f>
        <v>Good</v>
      </c>
    </row>
    <row r="392" spans="1:8" ht="19.8" x14ac:dyDescent="0.65">
      <c r="A392" s="58" t="s">
        <v>100</v>
      </c>
      <c r="B392" s="59">
        <v>45992</v>
      </c>
      <c r="C392" s="60">
        <v>169</v>
      </c>
      <c r="D392" s="60">
        <v>169</v>
      </c>
      <c r="E392" s="60" t="str">
        <f>tbl_performance[[#This Row],[employee_id]]&amp;"-"&amp;TEXT(tbl_performance[[#This Row],[month]],"mm")</f>
        <v>EMP1034-12</v>
      </c>
      <c r="F392" s="60">
        <f>COUNTIF(tbl_performance[employee_month_key],tbl_performance[[#This Row],[employee_month_key]])</f>
        <v>1</v>
      </c>
      <c r="G392" s="61">
        <f>tbl_performance[[#This Row],[achieved]]/tbl_performance[[#This Row],[target]]</f>
        <v>1</v>
      </c>
      <c r="H392" s="60" t="str" cm="1">
        <f t="array" ref="H392">_xlfn.IFS(tbl_performance[[#This Row],[performance_pct]]&gt;=1.1,"Excellent",tbl_performance[[#This Row],[performance_pct]]&gt;=1,"Good",tbl_performance[[#This Row],[performance_pct]]&gt;=0.85,"Average",TRUE,"Poor")</f>
        <v>Good</v>
      </c>
    </row>
    <row r="393" spans="1:8" ht="19.8" x14ac:dyDescent="0.65">
      <c r="A393" s="58" t="s">
        <v>103</v>
      </c>
      <c r="B393" s="59">
        <v>45658</v>
      </c>
      <c r="C393" s="60">
        <v>163</v>
      </c>
      <c r="D393" s="60">
        <v>109</v>
      </c>
      <c r="E393" s="60" t="str">
        <f>tbl_performance[[#This Row],[employee_id]]&amp;"-"&amp;TEXT(tbl_performance[[#This Row],[month]],"mm")</f>
        <v>EMP1035-01</v>
      </c>
      <c r="F393" s="60">
        <f>COUNTIF(tbl_performance[employee_month_key],tbl_performance[[#This Row],[employee_month_key]])</f>
        <v>1</v>
      </c>
      <c r="G393" s="61">
        <f>tbl_performance[[#This Row],[achieved]]/tbl_performance[[#This Row],[target]]</f>
        <v>0.66871165644171782</v>
      </c>
      <c r="H393" s="60" t="str" cm="1">
        <f t="array" ref="H393">_xlfn.IFS(tbl_performance[[#This Row],[performance_pct]]&gt;=1.1,"Excellent",tbl_performance[[#This Row],[performance_pct]]&gt;=1,"Good",tbl_performance[[#This Row],[performance_pct]]&gt;=0.85,"Average",TRUE,"Poor")</f>
        <v>Poor</v>
      </c>
    </row>
    <row r="394" spans="1:8" ht="19.8" x14ac:dyDescent="0.65">
      <c r="A394" s="58" t="s">
        <v>103</v>
      </c>
      <c r="B394" s="59">
        <v>45689</v>
      </c>
      <c r="C394" s="60">
        <v>152</v>
      </c>
      <c r="D394" s="60">
        <v>116</v>
      </c>
      <c r="E394" s="60" t="str">
        <f>tbl_performance[[#This Row],[employee_id]]&amp;"-"&amp;TEXT(tbl_performance[[#This Row],[month]],"mm")</f>
        <v>EMP1035-02</v>
      </c>
      <c r="F394" s="60">
        <f>COUNTIF(tbl_performance[employee_month_key],tbl_performance[[#This Row],[employee_month_key]])</f>
        <v>1</v>
      </c>
      <c r="G394" s="61">
        <f>tbl_performance[[#This Row],[achieved]]/tbl_performance[[#This Row],[target]]</f>
        <v>0.76315789473684215</v>
      </c>
      <c r="H394" s="60" t="str" cm="1">
        <f t="array" ref="H394">_xlfn.IFS(tbl_performance[[#This Row],[performance_pct]]&gt;=1.1,"Excellent",tbl_performance[[#This Row],[performance_pct]]&gt;=1,"Good",tbl_performance[[#This Row],[performance_pct]]&gt;=0.85,"Average",TRUE,"Poor")</f>
        <v>Poor</v>
      </c>
    </row>
    <row r="395" spans="1:8" ht="19.8" x14ac:dyDescent="0.65">
      <c r="A395" s="58" t="s">
        <v>103</v>
      </c>
      <c r="B395" s="59">
        <v>45717</v>
      </c>
      <c r="C395" s="60">
        <v>167</v>
      </c>
      <c r="D395" s="60">
        <v>129</v>
      </c>
      <c r="E395" s="60" t="str">
        <f>tbl_performance[[#This Row],[employee_id]]&amp;"-"&amp;TEXT(tbl_performance[[#This Row],[month]],"mm")</f>
        <v>EMP1035-03</v>
      </c>
      <c r="F395" s="60">
        <f>COUNTIF(tbl_performance[employee_month_key],tbl_performance[[#This Row],[employee_month_key]])</f>
        <v>1</v>
      </c>
      <c r="G395" s="61">
        <f>tbl_performance[[#This Row],[achieved]]/tbl_performance[[#This Row],[target]]</f>
        <v>0.77245508982035926</v>
      </c>
      <c r="H395" s="60" t="str" cm="1">
        <f t="array" ref="H395">_xlfn.IFS(tbl_performance[[#This Row],[performance_pct]]&gt;=1.1,"Excellent",tbl_performance[[#This Row],[performance_pct]]&gt;=1,"Good",tbl_performance[[#This Row],[performance_pct]]&gt;=0.85,"Average",TRUE,"Poor")</f>
        <v>Poor</v>
      </c>
    </row>
    <row r="396" spans="1:8" ht="19.8" x14ac:dyDescent="0.65">
      <c r="A396" s="58" t="s">
        <v>103</v>
      </c>
      <c r="B396" s="59">
        <v>45748</v>
      </c>
      <c r="C396" s="60">
        <v>163</v>
      </c>
      <c r="D396" s="60">
        <v>116</v>
      </c>
      <c r="E396" s="60" t="str">
        <f>tbl_performance[[#This Row],[employee_id]]&amp;"-"&amp;TEXT(tbl_performance[[#This Row],[month]],"mm")</f>
        <v>EMP1035-04</v>
      </c>
      <c r="F396" s="60">
        <f>COUNTIF(tbl_performance[employee_month_key],tbl_performance[[#This Row],[employee_month_key]])</f>
        <v>1</v>
      </c>
      <c r="G396" s="61">
        <f>tbl_performance[[#This Row],[achieved]]/tbl_performance[[#This Row],[target]]</f>
        <v>0.71165644171779141</v>
      </c>
      <c r="H396" s="60" t="str" cm="1">
        <f t="array" ref="H396">_xlfn.IFS(tbl_performance[[#This Row],[performance_pct]]&gt;=1.1,"Excellent",tbl_performance[[#This Row],[performance_pct]]&gt;=1,"Good",tbl_performance[[#This Row],[performance_pct]]&gt;=0.85,"Average",TRUE,"Poor")</f>
        <v>Poor</v>
      </c>
    </row>
    <row r="397" spans="1:8" ht="19.8" x14ac:dyDescent="0.65">
      <c r="A397" s="58" t="s">
        <v>103</v>
      </c>
      <c r="B397" s="59">
        <v>45778</v>
      </c>
      <c r="C397" s="60">
        <v>163</v>
      </c>
      <c r="D397" s="60">
        <v>130</v>
      </c>
      <c r="E397" s="60" t="str">
        <f>tbl_performance[[#This Row],[employee_id]]&amp;"-"&amp;TEXT(tbl_performance[[#This Row],[month]],"mm")</f>
        <v>EMP1035-05</v>
      </c>
      <c r="F397" s="60">
        <f>COUNTIF(tbl_performance[employee_month_key],tbl_performance[[#This Row],[employee_month_key]])</f>
        <v>1</v>
      </c>
      <c r="G397" s="61">
        <f>tbl_performance[[#This Row],[achieved]]/tbl_performance[[#This Row],[target]]</f>
        <v>0.7975460122699386</v>
      </c>
      <c r="H397" s="60" t="str" cm="1">
        <f t="array" ref="H397">_xlfn.IFS(tbl_performance[[#This Row],[performance_pct]]&gt;=1.1,"Excellent",tbl_performance[[#This Row],[performance_pct]]&gt;=1,"Good",tbl_performance[[#This Row],[performance_pct]]&gt;=0.85,"Average",TRUE,"Poor")</f>
        <v>Poor</v>
      </c>
    </row>
    <row r="398" spans="1:8" ht="19.8" x14ac:dyDescent="0.65">
      <c r="A398" s="58" t="s">
        <v>103</v>
      </c>
      <c r="B398" s="59">
        <v>45809</v>
      </c>
      <c r="C398" s="60">
        <v>160</v>
      </c>
      <c r="D398" s="60">
        <v>107</v>
      </c>
      <c r="E398" s="60" t="str">
        <f>tbl_performance[[#This Row],[employee_id]]&amp;"-"&amp;TEXT(tbl_performance[[#This Row],[month]],"mm")</f>
        <v>EMP1035-06</v>
      </c>
      <c r="F398" s="60">
        <f>COUNTIF(tbl_performance[employee_month_key],tbl_performance[[#This Row],[employee_month_key]])</f>
        <v>1</v>
      </c>
      <c r="G398" s="61">
        <f>tbl_performance[[#This Row],[achieved]]/tbl_performance[[#This Row],[target]]</f>
        <v>0.66874999999999996</v>
      </c>
      <c r="H398" s="60" t="str" cm="1">
        <f t="array" ref="H398">_xlfn.IFS(tbl_performance[[#This Row],[performance_pct]]&gt;=1.1,"Excellent",tbl_performance[[#This Row],[performance_pct]]&gt;=1,"Good",tbl_performance[[#This Row],[performance_pct]]&gt;=0.85,"Average",TRUE,"Poor")</f>
        <v>Poor</v>
      </c>
    </row>
    <row r="399" spans="1:8" ht="19.8" x14ac:dyDescent="0.65">
      <c r="A399" s="58" t="s">
        <v>103</v>
      </c>
      <c r="B399" s="59">
        <v>45839</v>
      </c>
      <c r="C399" s="60">
        <v>163</v>
      </c>
      <c r="D399" s="60">
        <v>123</v>
      </c>
      <c r="E399" s="60" t="str">
        <f>tbl_performance[[#This Row],[employee_id]]&amp;"-"&amp;TEXT(tbl_performance[[#This Row],[month]],"mm")</f>
        <v>EMP1035-07</v>
      </c>
      <c r="F399" s="60">
        <f>COUNTIF(tbl_performance[employee_month_key],tbl_performance[[#This Row],[employee_month_key]])</f>
        <v>1</v>
      </c>
      <c r="G399" s="61">
        <f>tbl_performance[[#This Row],[achieved]]/tbl_performance[[#This Row],[target]]</f>
        <v>0.754601226993865</v>
      </c>
      <c r="H399" s="60" t="str" cm="1">
        <f t="array" ref="H399">_xlfn.IFS(tbl_performance[[#This Row],[performance_pct]]&gt;=1.1,"Excellent",tbl_performance[[#This Row],[performance_pct]]&gt;=1,"Good",tbl_performance[[#This Row],[performance_pct]]&gt;=0.85,"Average",TRUE,"Poor")</f>
        <v>Poor</v>
      </c>
    </row>
    <row r="400" spans="1:8" ht="19.8" x14ac:dyDescent="0.65">
      <c r="A400" s="58" t="s">
        <v>103</v>
      </c>
      <c r="B400" s="59">
        <v>45870</v>
      </c>
      <c r="C400" s="60">
        <v>159</v>
      </c>
      <c r="D400" s="60">
        <v>87</v>
      </c>
      <c r="E400" s="60" t="str">
        <f>tbl_performance[[#This Row],[employee_id]]&amp;"-"&amp;TEXT(tbl_performance[[#This Row],[month]],"mm")</f>
        <v>EMP1035-08</v>
      </c>
      <c r="F400" s="60">
        <f>COUNTIF(tbl_performance[employee_month_key],tbl_performance[[#This Row],[employee_month_key]])</f>
        <v>1</v>
      </c>
      <c r="G400" s="61">
        <f>tbl_performance[[#This Row],[achieved]]/tbl_performance[[#This Row],[target]]</f>
        <v>0.54716981132075471</v>
      </c>
      <c r="H400" s="60" t="str" cm="1">
        <f t="array" ref="H400">_xlfn.IFS(tbl_performance[[#This Row],[performance_pct]]&gt;=1.1,"Excellent",tbl_performance[[#This Row],[performance_pct]]&gt;=1,"Good",tbl_performance[[#This Row],[performance_pct]]&gt;=0.85,"Average",TRUE,"Poor")</f>
        <v>Poor</v>
      </c>
    </row>
    <row r="401" spans="1:8" ht="19.8" x14ac:dyDescent="0.65">
      <c r="A401" s="58" t="s">
        <v>103</v>
      </c>
      <c r="B401" s="59">
        <v>45901</v>
      </c>
      <c r="C401" s="60">
        <v>163</v>
      </c>
      <c r="D401" s="60">
        <v>110</v>
      </c>
      <c r="E401" s="60" t="str">
        <f>tbl_performance[[#This Row],[employee_id]]&amp;"-"&amp;TEXT(tbl_performance[[#This Row],[month]],"mm")</f>
        <v>EMP1035-09</v>
      </c>
      <c r="F401" s="60">
        <f>COUNTIF(tbl_performance[employee_month_key],tbl_performance[[#This Row],[employee_month_key]])</f>
        <v>1</v>
      </c>
      <c r="G401" s="61">
        <f>tbl_performance[[#This Row],[achieved]]/tbl_performance[[#This Row],[target]]</f>
        <v>0.67484662576687116</v>
      </c>
      <c r="H401" s="60" t="str" cm="1">
        <f t="array" ref="H401">_xlfn.IFS(tbl_performance[[#This Row],[performance_pct]]&gt;=1.1,"Excellent",tbl_performance[[#This Row],[performance_pct]]&gt;=1,"Good",tbl_performance[[#This Row],[performance_pct]]&gt;=0.85,"Average",TRUE,"Poor")</f>
        <v>Poor</v>
      </c>
    </row>
    <row r="402" spans="1:8" ht="19.8" x14ac:dyDescent="0.65">
      <c r="A402" s="58" t="s">
        <v>103</v>
      </c>
      <c r="B402" s="59">
        <v>45931</v>
      </c>
      <c r="C402" s="60">
        <v>167</v>
      </c>
      <c r="D402" s="60">
        <v>128</v>
      </c>
      <c r="E402" s="60" t="str">
        <f>tbl_performance[[#This Row],[employee_id]]&amp;"-"&amp;TEXT(tbl_performance[[#This Row],[month]],"mm")</f>
        <v>EMP1035-10</v>
      </c>
      <c r="F402" s="60">
        <f>COUNTIF(tbl_performance[employee_month_key],tbl_performance[[#This Row],[employee_month_key]])</f>
        <v>1</v>
      </c>
      <c r="G402" s="61">
        <f>tbl_performance[[#This Row],[achieved]]/tbl_performance[[#This Row],[target]]</f>
        <v>0.76646706586826352</v>
      </c>
      <c r="H402" s="60" t="str" cm="1">
        <f t="array" ref="H402">_xlfn.IFS(tbl_performance[[#This Row],[performance_pct]]&gt;=1.1,"Excellent",tbl_performance[[#This Row],[performance_pct]]&gt;=1,"Good",tbl_performance[[#This Row],[performance_pct]]&gt;=0.85,"Average",TRUE,"Poor")</f>
        <v>Poor</v>
      </c>
    </row>
    <row r="403" spans="1:8" ht="19.8" x14ac:dyDescent="0.65">
      <c r="A403" s="58" t="s">
        <v>103</v>
      </c>
      <c r="B403" s="59">
        <v>45962</v>
      </c>
      <c r="C403" s="60">
        <v>163</v>
      </c>
      <c r="D403" s="60">
        <v>116</v>
      </c>
      <c r="E403" s="60" t="str">
        <f>tbl_performance[[#This Row],[employee_id]]&amp;"-"&amp;TEXT(tbl_performance[[#This Row],[month]],"mm")</f>
        <v>EMP1035-11</v>
      </c>
      <c r="F403" s="60">
        <f>COUNTIF(tbl_performance[employee_month_key],tbl_performance[[#This Row],[employee_month_key]])</f>
        <v>1</v>
      </c>
      <c r="G403" s="61">
        <f>tbl_performance[[#This Row],[achieved]]/tbl_performance[[#This Row],[target]]</f>
        <v>0.71165644171779141</v>
      </c>
      <c r="H403" s="60" t="str" cm="1">
        <f t="array" ref="H403">_xlfn.IFS(tbl_performance[[#This Row],[performance_pct]]&gt;=1.1,"Excellent",tbl_performance[[#This Row],[performance_pct]]&gt;=1,"Good",tbl_performance[[#This Row],[performance_pct]]&gt;=0.85,"Average",TRUE,"Poor")</f>
        <v>Poor</v>
      </c>
    </row>
    <row r="404" spans="1:8" ht="19.8" x14ac:dyDescent="0.65">
      <c r="A404" s="58" t="s">
        <v>103</v>
      </c>
      <c r="B404" s="59">
        <v>45992</v>
      </c>
      <c r="C404" s="60">
        <v>139</v>
      </c>
      <c r="D404" s="60">
        <v>93</v>
      </c>
      <c r="E404" s="60" t="str">
        <f>tbl_performance[[#This Row],[employee_id]]&amp;"-"&amp;TEXT(tbl_performance[[#This Row],[month]],"mm")</f>
        <v>EMP1035-12</v>
      </c>
      <c r="F404" s="60">
        <f>COUNTIF(tbl_performance[employee_month_key],tbl_performance[[#This Row],[employee_month_key]])</f>
        <v>1</v>
      </c>
      <c r="G404" s="61">
        <f>tbl_performance[[#This Row],[achieved]]/tbl_performance[[#This Row],[target]]</f>
        <v>0.6690647482014388</v>
      </c>
      <c r="H404" s="60" t="str" cm="1">
        <f t="array" ref="H404">_xlfn.IFS(tbl_performance[[#This Row],[performance_pct]]&gt;=1.1,"Excellent",tbl_performance[[#This Row],[performance_pct]]&gt;=1,"Good",tbl_performance[[#This Row],[performance_pct]]&gt;=0.85,"Average",TRUE,"Poor")</f>
        <v>Poor</v>
      </c>
    </row>
    <row r="405" spans="1:8" ht="19.8" x14ac:dyDescent="0.65">
      <c r="A405" s="58" t="s">
        <v>105</v>
      </c>
      <c r="B405" s="59">
        <v>45931</v>
      </c>
      <c r="C405" s="60">
        <v>23</v>
      </c>
      <c r="D405" s="60">
        <v>24</v>
      </c>
      <c r="E405" s="60" t="str">
        <f>tbl_performance[[#This Row],[employee_id]]&amp;"-"&amp;TEXT(tbl_performance[[#This Row],[month]],"mm")</f>
        <v>EMP1036-10</v>
      </c>
      <c r="F405" s="60">
        <f>COUNTIF(tbl_performance[employee_month_key],tbl_performance[[#This Row],[employee_month_key]])</f>
        <v>1</v>
      </c>
      <c r="G405" s="61">
        <f>tbl_performance[[#This Row],[achieved]]/tbl_performance[[#This Row],[target]]</f>
        <v>1.0434782608695652</v>
      </c>
      <c r="H405" s="60" t="str" cm="1">
        <f t="array" ref="H405">_xlfn.IFS(tbl_performance[[#This Row],[performance_pct]]&gt;=1.1,"Excellent",tbl_performance[[#This Row],[performance_pct]]&gt;=1,"Good",tbl_performance[[#This Row],[performance_pct]]&gt;=0.85,"Average",TRUE,"Poor")</f>
        <v>Good</v>
      </c>
    </row>
    <row r="406" spans="1:8" ht="19.8" x14ac:dyDescent="0.65">
      <c r="A406" s="58" t="s">
        <v>105</v>
      </c>
      <c r="B406" s="59">
        <v>45962</v>
      </c>
      <c r="C406" s="60">
        <v>22</v>
      </c>
      <c r="D406" s="60">
        <v>24</v>
      </c>
      <c r="E406" s="60" t="str">
        <f>tbl_performance[[#This Row],[employee_id]]&amp;"-"&amp;TEXT(tbl_performance[[#This Row],[month]],"mm")</f>
        <v>EMP1036-11</v>
      </c>
      <c r="F406" s="60">
        <f>COUNTIF(tbl_performance[employee_month_key],tbl_performance[[#This Row],[employee_month_key]])</f>
        <v>1</v>
      </c>
      <c r="G406" s="61">
        <f>tbl_performance[[#This Row],[achieved]]/tbl_performance[[#This Row],[target]]</f>
        <v>1.0909090909090908</v>
      </c>
      <c r="H406" s="60" t="str" cm="1">
        <f t="array" ref="H406">_xlfn.IFS(tbl_performance[[#This Row],[performance_pct]]&gt;=1.1,"Excellent",tbl_performance[[#This Row],[performance_pct]]&gt;=1,"Good",tbl_performance[[#This Row],[performance_pct]]&gt;=0.85,"Average",TRUE,"Poor")</f>
        <v>Good</v>
      </c>
    </row>
    <row r="407" spans="1:8" ht="19.8" x14ac:dyDescent="0.65">
      <c r="A407" s="58" t="s">
        <v>105</v>
      </c>
      <c r="B407" s="59">
        <v>45992</v>
      </c>
      <c r="C407" s="60">
        <v>19</v>
      </c>
      <c r="D407" s="60">
        <v>18</v>
      </c>
      <c r="E407" s="60" t="str">
        <f>tbl_performance[[#This Row],[employee_id]]&amp;"-"&amp;TEXT(tbl_performance[[#This Row],[month]],"mm")</f>
        <v>EMP1036-12</v>
      </c>
      <c r="F407" s="60">
        <f>COUNTIF(tbl_performance[employee_month_key],tbl_performance[[#This Row],[employee_month_key]])</f>
        <v>1</v>
      </c>
      <c r="G407" s="61">
        <f>tbl_performance[[#This Row],[achieved]]/tbl_performance[[#This Row],[target]]</f>
        <v>0.94736842105263153</v>
      </c>
      <c r="H407" s="60" t="str" cm="1">
        <f t="array" ref="H4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08" spans="1:8" ht="19.8" x14ac:dyDescent="0.65">
      <c r="A408" s="58" t="s">
        <v>107</v>
      </c>
      <c r="B408" s="59">
        <v>45901</v>
      </c>
      <c r="C408" s="60">
        <v>29</v>
      </c>
      <c r="D408" s="60">
        <v>32</v>
      </c>
      <c r="E408" s="60" t="str">
        <f>tbl_performance[[#This Row],[employee_id]]&amp;"-"&amp;TEXT(tbl_performance[[#This Row],[month]],"mm")</f>
        <v>EMP1037-09</v>
      </c>
      <c r="F408" s="60">
        <f>COUNTIF(tbl_performance[employee_month_key],tbl_performance[[#This Row],[employee_month_key]])</f>
        <v>1</v>
      </c>
      <c r="G408" s="61">
        <f>tbl_performance[[#This Row],[achieved]]/tbl_performance[[#This Row],[target]]</f>
        <v>1.103448275862069</v>
      </c>
      <c r="H408" s="60" t="str" cm="1">
        <f t="array" ref="H40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09" spans="1:8" ht="19.8" x14ac:dyDescent="0.65">
      <c r="A409" s="58" t="s">
        <v>107</v>
      </c>
      <c r="B409" s="59">
        <v>45931</v>
      </c>
      <c r="C409" s="60">
        <v>30</v>
      </c>
      <c r="D409" s="60">
        <v>29</v>
      </c>
      <c r="E409" s="60" t="str">
        <f>tbl_performance[[#This Row],[employee_id]]&amp;"-"&amp;TEXT(tbl_performance[[#This Row],[month]],"mm")</f>
        <v>EMP1037-10</v>
      </c>
      <c r="F409" s="60">
        <f>COUNTIF(tbl_performance[employee_month_key],tbl_performance[[#This Row],[employee_month_key]])</f>
        <v>1</v>
      </c>
      <c r="G409" s="61">
        <f>tbl_performance[[#This Row],[achieved]]/tbl_performance[[#This Row],[target]]</f>
        <v>0.96666666666666667</v>
      </c>
      <c r="H409" s="60" t="str" cm="1">
        <f t="array" ref="H40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0" spans="1:8" ht="19.8" x14ac:dyDescent="0.65">
      <c r="A410" s="58" t="s">
        <v>107</v>
      </c>
      <c r="B410" s="59">
        <v>45962</v>
      </c>
      <c r="C410" s="60">
        <v>29</v>
      </c>
      <c r="D410" s="60">
        <v>30</v>
      </c>
      <c r="E410" s="60" t="str">
        <f>tbl_performance[[#This Row],[employee_id]]&amp;"-"&amp;TEXT(tbl_performance[[#This Row],[month]],"mm")</f>
        <v>EMP1037-11</v>
      </c>
      <c r="F410" s="60">
        <f>COUNTIF(tbl_performance[employee_month_key],tbl_performance[[#This Row],[employee_month_key]])</f>
        <v>1</v>
      </c>
      <c r="G410" s="61">
        <f>tbl_performance[[#This Row],[achieved]]/tbl_performance[[#This Row],[target]]</f>
        <v>1.0344827586206897</v>
      </c>
      <c r="H410" s="60" t="str" cm="1">
        <f t="array" ref="H410">_xlfn.IFS(tbl_performance[[#This Row],[performance_pct]]&gt;=1.1,"Excellent",tbl_performance[[#This Row],[performance_pct]]&gt;=1,"Good",tbl_performance[[#This Row],[performance_pct]]&gt;=0.85,"Average",TRUE,"Poor")</f>
        <v>Good</v>
      </c>
    </row>
    <row r="411" spans="1:8" ht="19.8" x14ac:dyDescent="0.65">
      <c r="A411" s="58" t="s">
        <v>107</v>
      </c>
      <c r="B411" s="59">
        <v>45992</v>
      </c>
      <c r="C411" s="60">
        <v>25</v>
      </c>
      <c r="D411" s="60">
        <v>26</v>
      </c>
      <c r="E411" s="60" t="str">
        <f>tbl_performance[[#This Row],[employee_id]]&amp;"-"&amp;TEXT(tbl_performance[[#This Row],[month]],"mm")</f>
        <v>EMP1037-12</v>
      </c>
      <c r="F411" s="60">
        <f>COUNTIF(tbl_performance[employee_month_key],tbl_performance[[#This Row],[employee_month_key]])</f>
        <v>1</v>
      </c>
      <c r="G411" s="61">
        <f>tbl_performance[[#This Row],[achieved]]/tbl_performance[[#This Row],[target]]</f>
        <v>1.04</v>
      </c>
      <c r="H411" s="60" t="str" cm="1">
        <f t="array" ref="H411">_xlfn.IFS(tbl_performance[[#This Row],[performance_pct]]&gt;=1.1,"Excellent",tbl_performance[[#This Row],[performance_pct]]&gt;=1,"Good",tbl_performance[[#This Row],[performance_pct]]&gt;=0.85,"Average",TRUE,"Poor")</f>
        <v>Good</v>
      </c>
    </row>
    <row r="412" spans="1:8" ht="19.8" x14ac:dyDescent="0.65">
      <c r="A412" s="58" t="s">
        <v>109</v>
      </c>
      <c r="B412" s="59">
        <v>45658</v>
      </c>
      <c r="C412" s="60">
        <v>72688</v>
      </c>
      <c r="D412" s="60">
        <v>66346</v>
      </c>
      <c r="E412" s="60" t="str">
        <f>tbl_performance[[#This Row],[employee_id]]&amp;"-"&amp;TEXT(tbl_performance[[#This Row],[month]],"mm")</f>
        <v>EMP1038-01</v>
      </c>
      <c r="F412" s="60">
        <f>COUNTIF(tbl_performance[employee_month_key],tbl_performance[[#This Row],[employee_month_key]])</f>
        <v>1</v>
      </c>
      <c r="G412" s="61">
        <f>tbl_performance[[#This Row],[achieved]]/tbl_performance[[#This Row],[target]]</f>
        <v>0.91275038520801233</v>
      </c>
      <c r="H412" s="60" t="str" cm="1">
        <f t="array" ref="H4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3" spans="1:8" ht="19.8" x14ac:dyDescent="0.65">
      <c r="A413" s="58" t="s">
        <v>109</v>
      </c>
      <c r="B413" s="59">
        <v>45689</v>
      </c>
      <c r="C413" s="60">
        <v>67599</v>
      </c>
      <c r="D413" s="60">
        <v>56461</v>
      </c>
      <c r="E413" s="60" t="str">
        <f>tbl_performance[[#This Row],[employee_id]]&amp;"-"&amp;TEXT(tbl_performance[[#This Row],[month]],"mm")</f>
        <v>EMP1038-02</v>
      </c>
      <c r="F413" s="60">
        <f>COUNTIF(tbl_performance[employee_month_key],tbl_performance[[#This Row],[employee_month_key]])</f>
        <v>1</v>
      </c>
      <c r="G413" s="61">
        <f>tbl_performance[[#This Row],[achieved]]/tbl_performance[[#This Row],[target]]</f>
        <v>0.83523424902735244</v>
      </c>
      <c r="H413" s="60" t="str" cm="1">
        <f t="array" ref="H413">_xlfn.IFS(tbl_performance[[#This Row],[performance_pct]]&gt;=1.1,"Excellent",tbl_performance[[#This Row],[performance_pct]]&gt;=1,"Good",tbl_performance[[#This Row],[performance_pct]]&gt;=0.85,"Average",TRUE,"Poor")</f>
        <v>Poor</v>
      </c>
    </row>
    <row r="414" spans="1:8" ht="19.8" x14ac:dyDescent="0.65">
      <c r="A414" s="58" t="s">
        <v>109</v>
      </c>
      <c r="B414" s="59">
        <v>45717</v>
      </c>
      <c r="C414" s="60">
        <v>74141</v>
      </c>
      <c r="D414" s="60">
        <v>69269</v>
      </c>
      <c r="E414" s="60" t="str">
        <f>tbl_performance[[#This Row],[employee_id]]&amp;"-"&amp;TEXT(tbl_performance[[#This Row],[month]],"mm")</f>
        <v>EMP1038-03</v>
      </c>
      <c r="F414" s="60">
        <f>COUNTIF(tbl_performance[employee_month_key],tbl_performance[[#This Row],[employee_month_key]])</f>
        <v>1</v>
      </c>
      <c r="G414" s="61">
        <f>tbl_performance[[#This Row],[achieved]]/tbl_performance[[#This Row],[target]]</f>
        <v>0.9342873713599763</v>
      </c>
      <c r="H414" s="60" t="str" cm="1">
        <f t="array" ref="H41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5" spans="1:8" ht="19.8" x14ac:dyDescent="0.65">
      <c r="A415" s="58" t="s">
        <v>109</v>
      </c>
      <c r="B415" s="59">
        <v>45748</v>
      </c>
      <c r="C415" s="60">
        <v>72688</v>
      </c>
      <c r="D415" s="60">
        <v>66151</v>
      </c>
      <c r="E415" s="60" t="str">
        <f>tbl_performance[[#This Row],[employee_id]]&amp;"-"&amp;TEXT(tbl_performance[[#This Row],[month]],"mm")</f>
        <v>EMP1038-04</v>
      </c>
      <c r="F415" s="60">
        <f>COUNTIF(tbl_performance[employee_month_key],tbl_performance[[#This Row],[employee_month_key]])</f>
        <v>1</v>
      </c>
      <c r="G415" s="61">
        <f>tbl_performance[[#This Row],[achieved]]/tbl_performance[[#This Row],[target]]</f>
        <v>0.91006768655073744</v>
      </c>
      <c r="H415" s="60" t="str" cm="1">
        <f t="array" ref="H41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6" spans="1:8" ht="19.8" x14ac:dyDescent="0.65">
      <c r="A416" s="58" t="s">
        <v>109</v>
      </c>
      <c r="B416" s="59">
        <v>45778</v>
      </c>
      <c r="C416" s="60">
        <v>72688</v>
      </c>
      <c r="D416" s="60">
        <v>75771</v>
      </c>
      <c r="E416" s="60" t="str">
        <f>tbl_performance[[#This Row],[employee_id]]&amp;"-"&amp;TEXT(tbl_performance[[#This Row],[month]],"mm")</f>
        <v>EMP1038-05</v>
      </c>
      <c r="F416" s="60">
        <f>COUNTIF(tbl_performance[employee_month_key],tbl_performance[[#This Row],[employee_month_key]])</f>
        <v>1</v>
      </c>
      <c r="G416" s="61">
        <f>tbl_performance[[#This Row],[achieved]]/tbl_performance[[#This Row],[target]]</f>
        <v>1.0424141536429672</v>
      </c>
      <c r="H416" s="60" t="str" cm="1">
        <f t="array" ref="H416">_xlfn.IFS(tbl_performance[[#This Row],[performance_pct]]&gt;=1.1,"Excellent",tbl_performance[[#This Row],[performance_pct]]&gt;=1,"Good",tbl_performance[[#This Row],[performance_pct]]&gt;=0.85,"Average",TRUE,"Poor")</f>
        <v>Good</v>
      </c>
    </row>
    <row r="417" spans="1:8" ht="19.8" x14ac:dyDescent="0.65">
      <c r="A417" s="58" t="s">
        <v>109</v>
      </c>
      <c r="B417" s="59">
        <v>45809</v>
      </c>
      <c r="C417" s="60">
        <v>71234</v>
      </c>
      <c r="D417" s="60">
        <v>67749</v>
      </c>
      <c r="E417" s="60" t="str">
        <f>tbl_performance[[#This Row],[employee_id]]&amp;"-"&amp;TEXT(tbl_performance[[#This Row],[month]],"mm")</f>
        <v>EMP1038-06</v>
      </c>
      <c r="F417" s="60">
        <f>COUNTIF(tbl_performance[employee_month_key],tbl_performance[[#This Row],[employee_month_key]])</f>
        <v>1</v>
      </c>
      <c r="G417" s="61">
        <f>tbl_performance[[#This Row],[achieved]]/tbl_performance[[#This Row],[target]]</f>
        <v>0.95107673302074847</v>
      </c>
      <c r="H417" s="60" t="str" cm="1">
        <f t="array" ref="H41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8" spans="1:8" ht="19.8" x14ac:dyDescent="0.65">
      <c r="A418" s="58" t="s">
        <v>109</v>
      </c>
      <c r="B418" s="59">
        <v>45839</v>
      </c>
      <c r="C418" s="60">
        <v>72688</v>
      </c>
      <c r="D418" s="60">
        <v>69736</v>
      </c>
      <c r="E418" s="60" t="str">
        <f>tbl_performance[[#This Row],[employee_id]]&amp;"-"&amp;TEXT(tbl_performance[[#This Row],[month]],"mm")</f>
        <v>EMP1038-07</v>
      </c>
      <c r="F418" s="60">
        <f>COUNTIF(tbl_performance[employee_month_key],tbl_performance[[#This Row],[employee_month_key]])</f>
        <v>1</v>
      </c>
      <c r="G418" s="61">
        <f>tbl_performance[[#This Row],[achieved]]/tbl_performance[[#This Row],[target]]</f>
        <v>0.95938806955756106</v>
      </c>
      <c r="H418" s="60" t="str" cm="1">
        <f t="array" ref="H41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19" spans="1:8" ht="19.8" x14ac:dyDescent="0.65">
      <c r="A419" s="58" t="s">
        <v>109</v>
      </c>
      <c r="B419" s="59">
        <v>45870</v>
      </c>
      <c r="C419" s="60">
        <v>70507</v>
      </c>
      <c r="D419" s="60">
        <v>62360</v>
      </c>
      <c r="E419" s="60" t="str">
        <f>tbl_performance[[#This Row],[employee_id]]&amp;"-"&amp;TEXT(tbl_performance[[#This Row],[month]],"mm")</f>
        <v>EMP1038-08</v>
      </c>
      <c r="F419" s="60">
        <f>COUNTIF(tbl_performance[employee_month_key],tbl_performance[[#This Row],[employee_month_key]])</f>
        <v>1</v>
      </c>
      <c r="G419" s="61">
        <f>tbl_performance[[#This Row],[achieved]]/tbl_performance[[#This Row],[target]]</f>
        <v>0.88445118924362121</v>
      </c>
      <c r="H419" s="60" t="str" cm="1">
        <f t="array" ref="H4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20" spans="1:8" ht="19.8" x14ac:dyDescent="0.65">
      <c r="A420" s="58" t="s">
        <v>109</v>
      </c>
      <c r="B420" s="59">
        <v>45901</v>
      </c>
      <c r="C420" s="60">
        <v>72688</v>
      </c>
      <c r="D420" s="60">
        <v>63738</v>
      </c>
      <c r="E420" s="60" t="str">
        <f>tbl_performance[[#This Row],[employee_id]]&amp;"-"&amp;TEXT(tbl_performance[[#This Row],[month]],"mm")</f>
        <v>EMP1038-09</v>
      </c>
      <c r="F420" s="60">
        <f>COUNTIF(tbl_performance[employee_month_key],tbl_performance[[#This Row],[employee_month_key]])</f>
        <v>1</v>
      </c>
      <c r="G420" s="61">
        <f>tbl_performance[[#This Row],[achieved]]/tbl_performance[[#This Row],[target]]</f>
        <v>0.87687101034558657</v>
      </c>
      <c r="H420" s="60" t="str" cm="1">
        <f t="array" ref="H42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21" spans="1:8" ht="19.8" x14ac:dyDescent="0.65">
      <c r="A421" s="58" t="s">
        <v>109</v>
      </c>
      <c r="B421" s="59">
        <v>45931</v>
      </c>
      <c r="C421" s="60">
        <v>74141</v>
      </c>
      <c r="D421" s="60">
        <v>65420</v>
      </c>
      <c r="E421" s="60" t="str">
        <f>tbl_performance[[#This Row],[employee_id]]&amp;"-"&amp;TEXT(tbl_performance[[#This Row],[month]],"mm")</f>
        <v>EMP1038-10</v>
      </c>
      <c r="F421" s="60">
        <f>COUNTIF(tbl_performance[employee_month_key],tbl_performance[[#This Row],[employee_month_key]])</f>
        <v>1</v>
      </c>
      <c r="G421" s="61">
        <f>tbl_performance[[#This Row],[achieved]]/tbl_performance[[#This Row],[target]]</f>
        <v>0.88237277619670629</v>
      </c>
      <c r="H421" s="60" t="str" cm="1">
        <f t="array" ref="H4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22" spans="1:8" ht="19.8" x14ac:dyDescent="0.65">
      <c r="A422" s="58" t="s">
        <v>109</v>
      </c>
      <c r="B422" s="59">
        <v>45962</v>
      </c>
      <c r="C422" s="60">
        <v>72688</v>
      </c>
      <c r="D422" s="60">
        <v>77419</v>
      </c>
      <c r="E422" s="60" t="str">
        <f>tbl_performance[[#This Row],[employee_id]]&amp;"-"&amp;TEXT(tbl_performance[[#This Row],[month]],"mm")</f>
        <v>EMP1038-11</v>
      </c>
      <c r="F422" s="60">
        <f>COUNTIF(tbl_performance[employee_month_key],tbl_performance[[#This Row],[employee_month_key]])</f>
        <v>1</v>
      </c>
      <c r="G422" s="61">
        <f>tbl_performance[[#This Row],[achieved]]/tbl_performance[[#This Row],[target]]</f>
        <v>1.0650863966541932</v>
      </c>
      <c r="H422" s="60" t="str" cm="1">
        <f t="array" ref="H422">_xlfn.IFS(tbl_performance[[#This Row],[performance_pct]]&gt;=1.1,"Excellent",tbl_performance[[#This Row],[performance_pct]]&gt;=1,"Good",tbl_performance[[#This Row],[performance_pct]]&gt;=0.85,"Average",TRUE,"Poor")</f>
        <v>Good</v>
      </c>
    </row>
    <row r="423" spans="1:8" ht="19.8" x14ac:dyDescent="0.65">
      <c r="A423" s="58" t="s">
        <v>109</v>
      </c>
      <c r="B423" s="59">
        <v>45992</v>
      </c>
      <c r="C423" s="60">
        <v>61784</v>
      </c>
      <c r="D423" s="60">
        <v>63238</v>
      </c>
      <c r="E423" s="60" t="str">
        <f>tbl_performance[[#This Row],[employee_id]]&amp;"-"&amp;TEXT(tbl_performance[[#This Row],[month]],"mm")</f>
        <v>EMP1038-12</v>
      </c>
      <c r="F423" s="60">
        <f>COUNTIF(tbl_performance[employee_month_key],tbl_performance[[#This Row],[employee_month_key]])</f>
        <v>1</v>
      </c>
      <c r="G423" s="61">
        <f>tbl_performance[[#This Row],[achieved]]/tbl_performance[[#This Row],[target]]</f>
        <v>1.0235336009322802</v>
      </c>
      <c r="H423" s="60" t="str" cm="1">
        <f t="array" ref="H423">_xlfn.IFS(tbl_performance[[#This Row],[performance_pct]]&gt;=1.1,"Excellent",tbl_performance[[#This Row],[performance_pct]]&gt;=1,"Good",tbl_performance[[#This Row],[performance_pct]]&gt;=0.85,"Average",TRUE,"Poor")</f>
        <v>Good</v>
      </c>
    </row>
    <row r="424" spans="1:8" ht="19.8" x14ac:dyDescent="0.65">
      <c r="A424" s="58" t="s">
        <v>112</v>
      </c>
      <c r="B424" s="59">
        <v>45658</v>
      </c>
      <c r="C424" s="60">
        <v>108</v>
      </c>
      <c r="D424" s="60">
        <v>121</v>
      </c>
      <c r="E424" s="60" t="str">
        <f>tbl_performance[[#This Row],[employee_id]]&amp;"-"&amp;TEXT(tbl_performance[[#This Row],[month]],"mm")</f>
        <v>EMP1039-01</v>
      </c>
      <c r="F424" s="60">
        <f>COUNTIF(tbl_performance[employee_month_key],tbl_performance[[#This Row],[employee_month_key]])</f>
        <v>1</v>
      </c>
      <c r="G424" s="61">
        <f>tbl_performance[[#This Row],[achieved]]/tbl_performance[[#This Row],[target]]</f>
        <v>1.1203703703703705</v>
      </c>
      <c r="H424" s="60" t="str" cm="1">
        <f t="array" ref="H42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25" spans="1:8" ht="19.8" x14ac:dyDescent="0.65">
      <c r="A425" s="58" t="s">
        <v>112</v>
      </c>
      <c r="B425" s="59">
        <v>45689</v>
      </c>
      <c r="C425" s="60">
        <v>100</v>
      </c>
      <c r="D425" s="60">
        <v>104</v>
      </c>
      <c r="E425" s="60" t="str">
        <f>tbl_performance[[#This Row],[employee_id]]&amp;"-"&amp;TEXT(tbl_performance[[#This Row],[month]],"mm")</f>
        <v>EMP1039-02</v>
      </c>
      <c r="F425" s="60">
        <f>COUNTIF(tbl_performance[employee_month_key],tbl_performance[[#This Row],[employee_month_key]])</f>
        <v>1</v>
      </c>
      <c r="G425" s="61">
        <f>tbl_performance[[#This Row],[achieved]]/tbl_performance[[#This Row],[target]]</f>
        <v>1.04</v>
      </c>
      <c r="H425" s="60" t="str" cm="1">
        <f t="array" ref="H425">_xlfn.IFS(tbl_performance[[#This Row],[performance_pct]]&gt;=1.1,"Excellent",tbl_performance[[#This Row],[performance_pct]]&gt;=1,"Good",tbl_performance[[#This Row],[performance_pct]]&gt;=0.85,"Average",TRUE,"Poor")</f>
        <v>Good</v>
      </c>
    </row>
    <row r="426" spans="1:8" ht="19.8" x14ac:dyDescent="0.65">
      <c r="A426" s="58" t="s">
        <v>112</v>
      </c>
      <c r="B426" s="59">
        <v>45717</v>
      </c>
      <c r="C426" s="60">
        <v>110</v>
      </c>
      <c r="D426" s="60">
        <v>114</v>
      </c>
      <c r="E426" s="60" t="str">
        <f>tbl_performance[[#This Row],[employee_id]]&amp;"-"&amp;TEXT(tbl_performance[[#This Row],[month]],"mm")</f>
        <v>EMP1039-03</v>
      </c>
      <c r="F426" s="60">
        <f>COUNTIF(tbl_performance[employee_month_key],tbl_performance[[#This Row],[employee_month_key]])</f>
        <v>1</v>
      </c>
      <c r="G426" s="61">
        <f>tbl_performance[[#This Row],[achieved]]/tbl_performance[[#This Row],[target]]</f>
        <v>1.0363636363636364</v>
      </c>
      <c r="H426" s="60" t="str" cm="1">
        <f t="array" ref="H426">_xlfn.IFS(tbl_performance[[#This Row],[performance_pct]]&gt;=1.1,"Excellent",tbl_performance[[#This Row],[performance_pct]]&gt;=1,"Good",tbl_performance[[#This Row],[performance_pct]]&gt;=0.85,"Average",TRUE,"Poor")</f>
        <v>Good</v>
      </c>
    </row>
    <row r="427" spans="1:8" ht="19.8" x14ac:dyDescent="0.65">
      <c r="A427" s="58" t="s">
        <v>112</v>
      </c>
      <c r="B427" s="59">
        <v>45748</v>
      </c>
      <c r="C427" s="60">
        <v>108</v>
      </c>
      <c r="D427" s="60">
        <v>115</v>
      </c>
      <c r="E427" s="60" t="str">
        <f>tbl_performance[[#This Row],[employee_id]]&amp;"-"&amp;TEXT(tbl_performance[[#This Row],[month]],"mm")</f>
        <v>EMP1039-04</v>
      </c>
      <c r="F427" s="60">
        <f>COUNTIF(tbl_performance[employee_month_key],tbl_performance[[#This Row],[employee_month_key]])</f>
        <v>1</v>
      </c>
      <c r="G427" s="61">
        <f>tbl_performance[[#This Row],[achieved]]/tbl_performance[[#This Row],[target]]</f>
        <v>1.0648148148148149</v>
      </c>
      <c r="H427" s="60" t="str" cm="1">
        <f t="array" ref="H427">_xlfn.IFS(tbl_performance[[#This Row],[performance_pct]]&gt;=1.1,"Excellent",tbl_performance[[#This Row],[performance_pct]]&gt;=1,"Good",tbl_performance[[#This Row],[performance_pct]]&gt;=0.85,"Average",TRUE,"Poor")</f>
        <v>Good</v>
      </c>
    </row>
    <row r="428" spans="1:8" ht="19.8" x14ac:dyDescent="0.65">
      <c r="A428" s="58" t="s">
        <v>112</v>
      </c>
      <c r="B428" s="59">
        <v>45778</v>
      </c>
      <c r="C428" s="60">
        <v>108</v>
      </c>
      <c r="D428" s="60">
        <v>103</v>
      </c>
      <c r="E428" s="60" t="str">
        <f>tbl_performance[[#This Row],[employee_id]]&amp;"-"&amp;TEXT(tbl_performance[[#This Row],[month]],"mm")</f>
        <v>EMP1039-05</v>
      </c>
      <c r="F428" s="60">
        <f>COUNTIF(tbl_performance[employee_month_key],tbl_performance[[#This Row],[employee_month_key]])</f>
        <v>1</v>
      </c>
      <c r="G428" s="61">
        <f>tbl_performance[[#This Row],[achieved]]/tbl_performance[[#This Row],[target]]</f>
        <v>0.95370370370370372</v>
      </c>
      <c r="H428" s="60" t="str" cm="1">
        <f t="array" ref="H42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29" spans="1:8" ht="19.8" x14ac:dyDescent="0.65">
      <c r="A429" s="58" t="s">
        <v>112</v>
      </c>
      <c r="B429" s="59">
        <v>45809</v>
      </c>
      <c r="C429" s="60">
        <v>106</v>
      </c>
      <c r="D429" s="60">
        <v>94</v>
      </c>
      <c r="E429" s="60" t="str">
        <f>tbl_performance[[#This Row],[employee_id]]&amp;"-"&amp;TEXT(tbl_performance[[#This Row],[month]],"mm")</f>
        <v>EMP1039-06</v>
      </c>
      <c r="F429" s="60">
        <f>COUNTIF(tbl_performance[employee_month_key],tbl_performance[[#This Row],[employee_month_key]])</f>
        <v>1</v>
      </c>
      <c r="G429" s="61">
        <f>tbl_performance[[#This Row],[achieved]]/tbl_performance[[#This Row],[target]]</f>
        <v>0.8867924528301887</v>
      </c>
      <c r="H429" s="60" t="str" cm="1">
        <f t="array" ref="H42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0" spans="1:8" ht="19.8" x14ac:dyDescent="0.65">
      <c r="A430" s="58" t="s">
        <v>112</v>
      </c>
      <c r="B430" s="59">
        <v>45839</v>
      </c>
      <c r="C430" s="60">
        <v>108</v>
      </c>
      <c r="D430" s="60">
        <v>99</v>
      </c>
      <c r="E430" s="60" t="str">
        <f>tbl_performance[[#This Row],[employee_id]]&amp;"-"&amp;TEXT(tbl_performance[[#This Row],[month]],"mm")</f>
        <v>EMP1039-07</v>
      </c>
      <c r="F430" s="60">
        <f>COUNTIF(tbl_performance[employee_month_key],tbl_performance[[#This Row],[employee_month_key]])</f>
        <v>1</v>
      </c>
      <c r="G430" s="61">
        <f>tbl_performance[[#This Row],[achieved]]/tbl_performance[[#This Row],[target]]</f>
        <v>0.91666666666666663</v>
      </c>
      <c r="H430" s="60" t="str" cm="1">
        <f t="array" ref="H43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1" spans="1:8" ht="19.8" x14ac:dyDescent="0.65">
      <c r="A431" s="58" t="s">
        <v>112</v>
      </c>
      <c r="B431" s="59">
        <v>45870</v>
      </c>
      <c r="C431" s="60">
        <v>105</v>
      </c>
      <c r="D431" s="60">
        <v>90</v>
      </c>
      <c r="E431" s="60" t="str">
        <f>tbl_performance[[#This Row],[employee_id]]&amp;"-"&amp;TEXT(tbl_performance[[#This Row],[month]],"mm")</f>
        <v>EMP1039-08</v>
      </c>
      <c r="F431" s="60">
        <f>COUNTIF(tbl_performance[employee_month_key],tbl_performance[[#This Row],[employee_month_key]])</f>
        <v>1</v>
      </c>
      <c r="G431" s="61">
        <f>tbl_performance[[#This Row],[achieved]]/tbl_performance[[#This Row],[target]]</f>
        <v>0.8571428571428571</v>
      </c>
      <c r="H431" s="60" t="str" cm="1">
        <f t="array" ref="H43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2" spans="1:8" ht="19.8" x14ac:dyDescent="0.65">
      <c r="A432" s="58" t="s">
        <v>112</v>
      </c>
      <c r="B432" s="59">
        <v>45901</v>
      </c>
      <c r="C432" s="60">
        <v>108</v>
      </c>
      <c r="D432" s="60">
        <v>104</v>
      </c>
      <c r="E432" s="60" t="str">
        <f>tbl_performance[[#This Row],[employee_id]]&amp;"-"&amp;TEXT(tbl_performance[[#This Row],[month]],"mm")</f>
        <v>EMP1039-09</v>
      </c>
      <c r="F432" s="60">
        <f>COUNTIF(tbl_performance[employee_month_key],tbl_performance[[#This Row],[employee_month_key]])</f>
        <v>1</v>
      </c>
      <c r="G432" s="61">
        <f>tbl_performance[[#This Row],[achieved]]/tbl_performance[[#This Row],[target]]</f>
        <v>0.96296296296296291</v>
      </c>
      <c r="H432" s="60" t="str" cm="1">
        <f t="array" ref="H43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3" spans="1:8" ht="19.8" x14ac:dyDescent="0.65">
      <c r="A433" s="58" t="s">
        <v>112</v>
      </c>
      <c r="B433" s="59">
        <v>45931</v>
      </c>
      <c r="C433" s="60">
        <v>110</v>
      </c>
      <c r="D433" s="60">
        <v>109</v>
      </c>
      <c r="E433" s="60" t="str">
        <f>tbl_performance[[#This Row],[employee_id]]&amp;"-"&amp;TEXT(tbl_performance[[#This Row],[month]],"mm")</f>
        <v>EMP1039-10</v>
      </c>
      <c r="F433" s="60">
        <f>COUNTIF(tbl_performance[employee_month_key],tbl_performance[[#This Row],[employee_month_key]])</f>
        <v>1</v>
      </c>
      <c r="G433" s="61">
        <f>tbl_performance[[#This Row],[achieved]]/tbl_performance[[#This Row],[target]]</f>
        <v>0.99090909090909096</v>
      </c>
      <c r="H433" s="60" t="str" cm="1">
        <f t="array" ref="H43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4" spans="1:8" ht="19.8" x14ac:dyDescent="0.65">
      <c r="A434" s="58" t="s">
        <v>112</v>
      </c>
      <c r="B434" s="59">
        <v>45962</v>
      </c>
      <c r="C434" s="60">
        <v>108</v>
      </c>
      <c r="D434" s="60">
        <v>130</v>
      </c>
      <c r="E434" s="60" t="str">
        <f>tbl_performance[[#This Row],[employee_id]]&amp;"-"&amp;TEXT(tbl_performance[[#This Row],[month]],"mm")</f>
        <v>EMP1039-11</v>
      </c>
      <c r="F434" s="60">
        <f>COUNTIF(tbl_performance[employee_month_key],tbl_performance[[#This Row],[employee_month_key]])</f>
        <v>1</v>
      </c>
      <c r="G434" s="61">
        <f>tbl_performance[[#This Row],[achieved]]/tbl_performance[[#This Row],[target]]</f>
        <v>1.2037037037037037</v>
      </c>
      <c r="H434" s="60" t="str" cm="1">
        <f t="array" ref="H43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35" spans="1:8" ht="19.8" x14ac:dyDescent="0.65">
      <c r="A435" s="58" t="s">
        <v>112</v>
      </c>
      <c r="B435" s="59">
        <v>45992</v>
      </c>
      <c r="C435" s="60">
        <v>92</v>
      </c>
      <c r="D435" s="60">
        <v>93</v>
      </c>
      <c r="E435" s="60" t="str">
        <f>tbl_performance[[#This Row],[employee_id]]&amp;"-"&amp;TEXT(tbl_performance[[#This Row],[month]],"mm")</f>
        <v>EMP1039-12</v>
      </c>
      <c r="F435" s="60">
        <f>COUNTIF(tbl_performance[employee_month_key],tbl_performance[[#This Row],[employee_month_key]])</f>
        <v>1</v>
      </c>
      <c r="G435" s="61">
        <f>tbl_performance[[#This Row],[achieved]]/tbl_performance[[#This Row],[target]]</f>
        <v>1.0108695652173914</v>
      </c>
      <c r="H435" s="60" t="str" cm="1">
        <f t="array" ref="H435">_xlfn.IFS(tbl_performance[[#This Row],[performance_pct]]&gt;=1.1,"Excellent",tbl_performance[[#This Row],[performance_pct]]&gt;=1,"Good",tbl_performance[[#This Row],[performance_pct]]&gt;=0.85,"Average",TRUE,"Poor")</f>
        <v>Good</v>
      </c>
    </row>
    <row r="436" spans="1:8" ht="19.8" x14ac:dyDescent="0.65">
      <c r="A436" s="58" t="s">
        <v>114</v>
      </c>
      <c r="B436" s="59">
        <v>45658</v>
      </c>
      <c r="C436" s="60">
        <v>240</v>
      </c>
      <c r="D436" s="60">
        <v>216</v>
      </c>
      <c r="E436" s="60" t="str">
        <f>tbl_performance[[#This Row],[employee_id]]&amp;"-"&amp;TEXT(tbl_performance[[#This Row],[month]],"mm")</f>
        <v>EMP1040-01</v>
      </c>
      <c r="F436" s="60">
        <f>COUNTIF(tbl_performance[employee_month_key],tbl_performance[[#This Row],[employee_month_key]])</f>
        <v>1</v>
      </c>
      <c r="G436" s="61">
        <f>tbl_performance[[#This Row],[achieved]]/tbl_performance[[#This Row],[target]]</f>
        <v>0.9</v>
      </c>
      <c r="H436" s="60" t="str" cm="1">
        <f t="array" ref="H43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7" spans="1:8" ht="19.8" x14ac:dyDescent="0.65">
      <c r="A437" s="58" t="s">
        <v>114</v>
      </c>
      <c r="B437" s="59">
        <v>45689</v>
      </c>
      <c r="C437" s="60">
        <v>223</v>
      </c>
      <c r="D437" s="60">
        <v>160</v>
      </c>
      <c r="E437" s="60" t="str">
        <f>tbl_performance[[#This Row],[employee_id]]&amp;"-"&amp;TEXT(tbl_performance[[#This Row],[month]],"mm")</f>
        <v>EMP1040-02</v>
      </c>
      <c r="F437" s="60">
        <f>COUNTIF(tbl_performance[employee_month_key],tbl_performance[[#This Row],[employee_month_key]])</f>
        <v>1</v>
      </c>
      <c r="G437" s="61">
        <f>tbl_performance[[#This Row],[achieved]]/tbl_performance[[#This Row],[target]]</f>
        <v>0.71748878923766812</v>
      </c>
      <c r="H437" s="60" t="str" cm="1">
        <f t="array" ref="H437">_xlfn.IFS(tbl_performance[[#This Row],[performance_pct]]&gt;=1.1,"Excellent",tbl_performance[[#This Row],[performance_pct]]&gt;=1,"Good",tbl_performance[[#This Row],[performance_pct]]&gt;=0.85,"Average",TRUE,"Poor")</f>
        <v>Poor</v>
      </c>
    </row>
    <row r="438" spans="1:8" ht="19.8" x14ac:dyDescent="0.65">
      <c r="A438" s="58" t="s">
        <v>114</v>
      </c>
      <c r="B438" s="59">
        <v>45717</v>
      </c>
      <c r="C438" s="60">
        <v>244</v>
      </c>
      <c r="D438" s="60">
        <v>211</v>
      </c>
      <c r="E438" s="60" t="str">
        <f>tbl_performance[[#This Row],[employee_id]]&amp;"-"&amp;TEXT(tbl_performance[[#This Row],[month]],"mm")</f>
        <v>EMP1040-03</v>
      </c>
      <c r="F438" s="60">
        <f>COUNTIF(tbl_performance[employee_month_key],tbl_performance[[#This Row],[employee_month_key]])</f>
        <v>1</v>
      </c>
      <c r="G438" s="61">
        <f>tbl_performance[[#This Row],[achieved]]/tbl_performance[[#This Row],[target]]</f>
        <v>0.86475409836065575</v>
      </c>
      <c r="H438" s="60" t="str" cm="1">
        <f t="array" ref="H43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39" spans="1:8" ht="19.8" x14ac:dyDescent="0.65">
      <c r="A439" s="58" t="s">
        <v>114</v>
      </c>
      <c r="B439" s="59">
        <v>45748</v>
      </c>
      <c r="C439" s="60">
        <v>240</v>
      </c>
      <c r="D439" s="60">
        <v>216</v>
      </c>
      <c r="E439" s="60" t="str">
        <f>tbl_performance[[#This Row],[employee_id]]&amp;"-"&amp;TEXT(tbl_performance[[#This Row],[month]],"mm")</f>
        <v>EMP1040-04</v>
      </c>
      <c r="F439" s="60">
        <f>COUNTIF(tbl_performance[employee_month_key],tbl_performance[[#This Row],[employee_month_key]])</f>
        <v>1</v>
      </c>
      <c r="G439" s="61">
        <f>tbl_performance[[#This Row],[achieved]]/tbl_performance[[#This Row],[target]]</f>
        <v>0.9</v>
      </c>
      <c r="H439" s="60" t="str" cm="1">
        <f t="array" ref="H43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0" spans="1:8" ht="19.8" x14ac:dyDescent="0.65">
      <c r="A440" s="58" t="s">
        <v>114</v>
      </c>
      <c r="B440" s="59">
        <v>45778</v>
      </c>
      <c r="C440" s="60">
        <v>240</v>
      </c>
      <c r="D440" s="60">
        <v>184</v>
      </c>
      <c r="E440" s="60" t="str">
        <f>tbl_performance[[#This Row],[employee_id]]&amp;"-"&amp;TEXT(tbl_performance[[#This Row],[month]],"mm")</f>
        <v>EMP1040-05</v>
      </c>
      <c r="F440" s="60">
        <f>COUNTIF(tbl_performance[employee_month_key],tbl_performance[[#This Row],[employee_month_key]])</f>
        <v>1</v>
      </c>
      <c r="G440" s="61">
        <f>tbl_performance[[#This Row],[achieved]]/tbl_performance[[#This Row],[target]]</f>
        <v>0.76666666666666672</v>
      </c>
      <c r="H440" s="60" t="str" cm="1">
        <f t="array" ref="H440">_xlfn.IFS(tbl_performance[[#This Row],[performance_pct]]&gt;=1.1,"Excellent",tbl_performance[[#This Row],[performance_pct]]&gt;=1,"Good",tbl_performance[[#This Row],[performance_pct]]&gt;=0.85,"Average",TRUE,"Poor")</f>
        <v>Poor</v>
      </c>
    </row>
    <row r="441" spans="1:8" ht="19.8" x14ac:dyDescent="0.65">
      <c r="A441" s="58" t="s">
        <v>114</v>
      </c>
      <c r="B441" s="59">
        <v>45809</v>
      </c>
      <c r="C441" s="60">
        <v>235</v>
      </c>
      <c r="D441" s="60">
        <v>217</v>
      </c>
      <c r="E441" s="60" t="str">
        <f>tbl_performance[[#This Row],[employee_id]]&amp;"-"&amp;TEXT(tbl_performance[[#This Row],[month]],"mm")</f>
        <v>EMP1040-06</v>
      </c>
      <c r="F441" s="60">
        <f>COUNTIF(tbl_performance[employee_month_key],tbl_performance[[#This Row],[employee_month_key]])</f>
        <v>1</v>
      </c>
      <c r="G441" s="61">
        <f>tbl_performance[[#This Row],[achieved]]/tbl_performance[[#This Row],[target]]</f>
        <v>0.92340425531914894</v>
      </c>
      <c r="H441" s="60" t="str" cm="1">
        <f t="array" ref="H44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2" spans="1:8" ht="19.8" x14ac:dyDescent="0.65">
      <c r="A442" s="58" t="s">
        <v>114</v>
      </c>
      <c r="B442" s="59">
        <v>45839</v>
      </c>
      <c r="C442" s="60">
        <v>240</v>
      </c>
      <c r="D442" s="60">
        <v>186</v>
      </c>
      <c r="E442" s="60" t="str">
        <f>tbl_performance[[#This Row],[employee_id]]&amp;"-"&amp;TEXT(tbl_performance[[#This Row],[month]],"mm")</f>
        <v>EMP1040-07</v>
      </c>
      <c r="F442" s="60">
        <f>COUNTIF(tbl_performance[employee_month_key],tbl_performance[[#This Row],[employee_month_key]])</f>
        <v>1</v>
      </c>
      <c r="G442" s="61">
        <f>tbl_performance[[#This Row],[achieved]]/tbl_performance[[#This Row],[target]]</f>
        <v>0.77500000000000002</v>
      </c>
      <c r="H442" s="60" t="str" cm="1">
        <f t="array" ref="H442">_xlfn.IFS(tbl_performance[[#This Row],[performance_pct]]&gt;=1.1,"Excellent",tbl_performance[[#This Row],[performance_pct]]&gt;=1,"Good",tbl_performance[[#This Row],[performance_pct]]&gt;=0.85,"Average",TRUE,"Poor")</f>
        <v>Poor</v>
      </c>
    </row>
    <row r="443" spans="1:8" ht="19.8" x14ac:dyDescent="0.65">
      <c r="A443" s="58" t="s">
        <v>114</v>
      </c>
      <c r="B443" s="59">
        <v>45870</v>
      </c>
      <c r="C443" s="60">
        <v>232</v>
      </c>
      <c r="D443" s="60">
        <v>174</v>
      </c>
      <c r="E443" s="60" t="str">
        <f>tbl_performance[[#This Row],[employee_id]]&amp;"-"&amp;TEXT(tbl_performance[[#This Row],[month]],"mm")</f>
        <v>EMP1040-08</v>
      </c>
      <c r="F443" s="60">
        <f>COUNTIF(tbl_performance[employee_month_key],tbl_performance[[#This Row],[employee_month_key]])</f>
        <v>1</v>
      </c>
      <c r="G443" s="61">
        <f>tbl_performance[[#This Row],[achieved]]/tbl_performance[[#This Row],[target]]</f>
        <v>0.75</v>
      </c>
      <c r="H443" s="60" t="str" cm="1">
        <f t="array" ref="H443">_xlfn.IFS(tbl_performance[[#This Row],[performance_pct]]&gt;=1.1,"Excellent",tbl_performance[[#This Row],[performance_pct]]&gt;=1,"Good",tbl_performance[[#This Row],[performance_pct]]&gt;=0.85,"Average",TRUE,"Poor")</f>
        <v>Poor</v>
      </c>
    </row>
    <row r="444" spans="1:8" ht="19.8" x14ac:dyDescent="0.65">
      <c r="A444" s="58" t="s">
        <v>114</v>
      </c>
      <c r="B444" s="59">
        <v>45901</v>
      </c>
      <c r="C444" s="60">
        <v>240</v>
      </c>
      <c r="D444" s="60">
        <v>215</v>
      </c>
      <c r="E444" s="60" t="str">
        <f>tbl_performance[[#This Row],[employee_id]]&amp;"-"&amp;TEXT(tbl_performance[[#This Row],[month]],"mm")</f>
        <v>EMP1040-09</v>
      </c>
      <c r="F444" s="60">
        <f>COUNTIF(tbl_performance[employee_month_key],tbl_performance[[#This Row],[employee_month_key]])</f>
        <v>1</v>
      </c>
      <c r="G444" s="61">
        <f>tbl_performance[[#This Row],[achieved]]/tbl_performance[[#This Row],[target]]</f>
        <v>0.89583333333333337</v>
      </c>
      <c r="H444" s="60" t="str" cm="1">
        <f t="array" ref="H44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5" spans="1:8" ht="19.8" x14ac:dyDescent="0.65">
      <c r="A445" s="58" t="s">
        <v>114</v>
      </c>
      <c r="B445" s="59">
        <v>45931</v>
      </c>
      <c r="C445" s="60">
        <v>244</v>
      </c>
      <c r="D445" s="60">
        <v>243</v>
      </c>
      <c r="E445" s="60" t="str">
        <f>tbl_performance[[#This Row],[employee_id]]&amp;"-"&amp;TEXT(tbl_performance[[#This Row],[month]],"mm")</f>
        <v>EMP1040-10</v>
      </c>
      <c r="F445" s="60">
        <f>COUNTIF(tbl_performance[employee_month_key],tbl_performance[[#This Row],[employee_month_key]])</f>
        <v>1</v>
      </c>
      <c r="G445" s="61">
        <f>tbl_performance[[#This Row],[achieved]]/tbl_performance[[#This Row],[target]]</f>
        <v>0.99590163934426235</v>
      </c>
      <c r="H445" s="60" t="str" cm="1">
        <f t="array" ref="H44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6" spans="1:8" ht="19.8" x14ac:dyDescent="0.65">
      <c r="A446" s="58" t="s">
        <v>114</v>
      </c>
      <c r="B446" s="59">
        <v>45962</v>
      </c>
      <c r="C446" s="60">
        <v>240</v>
      </c>
      <c r="D446" s="60">
        <v>221</v>
      </c>
      <c r="E446" s="60" t="str">
        <f>tbl_performance[[#This Row],[employee_id]]&amp;"-"&amp;TEXT(tbl_performance[[#This Row],[month]],"mm")</f>
        <v>EMP1040-11</v>
      </c>
      <c r="F446" s="60">
        <f>COUNTIF(tbl_performance[employee_month_key],tbl_performance[[#This Row],[employee_month_key]])</f>
        <v>1</v>
      </c>
      <c r="G446" s="61">
        <f>tbl_performance[[#This Row],[achieved]]/tbl_performance[[#This Row],[target]]</f>
        <v>0.92083333333333328</v>
      </c>
      <c r="H446" s="60" t="str" cm="1">
        <f t="array" ref="H44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7" spans="1:8" ht="19.8" x14ac:dyDescent="0.65">
      <c r="A447" s="58" t="s">
        <v>114</v>
      </c>
      <c r="B447" s="59">
        <v>45992</v>
      </c>
      <c r="C447" s="60">
        <v>204</v>
      </c>
      <c r="D447" s="60">
        <v>187</v>
      </c>
      <c r="E447" s="60" t="str">
        <f>tbl_performance[[#This Row],[employee_id]]&amp;"-"&amp;TEXT(tbl_performance[[#This Row],[month]],"mm")</f>
        <v>EMP1040-12</v>
      </c>
      <c r="F447" s="60">
        <f>COUNTIF(tbl_performance[employee_month_key],tbl_performance[[#This Row],[employee_month_key]])</f>
        <v>1</v>
      </c>
      <c r="G447" s="61">
        <f>tbl_performance[[#This Row],[achieved]]/tbl_performance[[#This Row],[target]]</f>
        <v>0.91666666666666663</v>
      </c>
      <c r="H447" s="60" t="str" cm="1">
        <f t="array" ref="H44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48" spans="1:8" ht="19.8" x14ac:dyDescent="0.65">
      <c r="A448" s="58" t="s">
        <v>116</v>
      </c>
      <c r="B448" s="59">
        <v>45658</v>
      </c>
      <c r="C448" s="60">
        <v>377</v>
      </c>
      <c r="D448" s="60">
        <v>303</v>
      </c>
      <c r="E448" s="60" t="str">
        <f>tbl_performance[[#This Row],[employee_id]]&amp;"-"&amp;TEXT(tbl_performance[[#This Row],[month]],"mm")</f>
        <v>EMP1041-01</v>
      </c>
      <c r="F448" s="60">
        <f>COUNTIF(tbl_performance[employee_month_key],tbl_performance[[#This Row],[employee_month_key]])</f>
        <v>1</v>
      </c>
      <c r="G448" s="61">
        <f>tbl_performance[[#This Row],[achieved]]/tbl_performance[[#This Row],[target]]</f>
        <v>0.80371352785145889</v>
      </c>
      <c r="H448" s="60" t="str" cm="1">
        <f t="array" ref="H448">_xlfn.IFS(tbl_performance[[#This Row],[performance_pct]]&gt;=1.1,"Excellent",tbl_performance[[#This Row],[performance_pct]]&gt;=1,"Good",tbl_performance[[#This Row],[performance_pct]]&gt;=0.85,"Average",TRUE,"Poor")</f>
        <v>Poor</v>
      </c>
    </row>
    <row r="449" spans="1:8" ht="19.8" x14ac:dyDescent="0.65">
      <c r="A449" s="58" t="s">
        <v>116</v>
      </c>
      <c r="B449" s="59">
        <v>45689</v>
      </c>
      <c r="C449" s="60">
        <v>351</v>
      </c>
      <c r="D449" s="60">
        <v>318</v>
      </c>
      <c r="E449" s="60" t="str">
        <f>tbl_performance[[#This Row],[employee_id]]&amp;"-"&amp;TEXT(tbl_performance[[#This Row],[month]],"mm")</f>
        <v>EMP1041-02</v>
      </c>
      <c r="F449" s="60">
        <f>COUNTIF(tbl_performance[employee_month_key],tbl_performance[[#This Row],[employee_month_key]])</f>
        <v>1</v>
      </c>
      <c r="G449" s="61">
        <f>tbl_performance[[#This Row],[achieved]]/tbl_performance[[#This Row],[target]]</f>
        <v>0.90598290598290598</v>
      </c>
      <c r="H449" s="60" t="str" cm="1">
        <f t="array" ref="H44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50" spans="1:8" ht="19.8" x14ac:dyDescent="0.65">
      <c r="A450" s="58" t="s">
        <v>116</v>
      </c>
      <c r="B450" s="59">
        <v>45717</v>
      </c>
      <c r="C450" s="60">
        <v>385</v>
      </c>
      <c r="D450" s="60">
        <v>310</v>
      </c>
      <c r="E450" s="60" t="str">
        <f>tbl_performance[[#This Row],[employee_id]]&amp;"-"&amp;TEXT(tbl_performance[[#This Row],[month]],"mm")</f>
        <v>EMP1041-03</v>
      </c>
      <c r="F450" s="60">
        <f>COUNTIF(tbl_performance[employee_month_key],tbl_performance[[#This Row],[employee_month_key]])</f>
        <v>1</v>
      </c>
      <c r="G450" s="61">
        <f>tbl_performance[[#This Row],[achieved]]/tbl_performance[[#This Row],[target]]</f>
        <v>0.80519480519480524</v>
      </c>
      <c r="H450" s="60" t="str" cm="1">
        <f t="array" ref="H450">_xlfn.IFS(tbl_performance[[#This Row],[performance_pct]]&gt;=1.1,"Excellent",tbl_performance[[#This Row],[performance_pct]]&gt;=1,"Good",tbl_performance[[#This Row],[performance_pct]]&gt;=0.85,"Average",TRUE,"Poor")</f>
        <v>Poor</v>
      </c>
    </row>
    <row r="451" spans="1:8" ht="19.8" x14ac:dyDescent="0.65">
      <c r="A451" s="58" t="s">
        <v>116</v>
      </c>
      <c r="B451" s="59">
        <v>45748</v>
      </c>
      <c r="C451" s="60">
        <v>377</v>
      </c>
      <c r="D451" s="60">
        <v>325</v>
      </c>
      <c r="E451" s="60" t="str">
        <f>tbl_performance[[#This Row],[employee_id]]&amp;"-"&amp;TEXT(tbl_performance[[#This Row],[month]],"mm")</f>
        <v>EMP1041-04</v>
      </c>
      <c r="F451" s="60">
        <f>COUNTIF(tbl_performance[employee_month_key],tbl_performance[[#This Row],[employee_month_key]])</f>
        <v>1</v>
      </c>
      <c r="G451" s="61">
        <f>tbl_performance[[#This Row],[achieved]]/tbl_performance[[#This Row],[target]]</f>
        <v>0.86206896551724133</v>
      </c>
      <c r="H451" s="60" t="str" cm="1">
        <f t="array" ref="H45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52" spans="1:8" ht="19.8" x14ac:dyDescent="0.65">
      <c r="A452" s="58" t="s">
        <v>116</v>
      </c>
      <c r="B452" s="59">
        <v>45778</v>
      </c>
      <c r="C452" s="60">
        <v>377</v>
      </c>
      <c r="D452" s="60">
        <v>313</v>
      </c>
      <c r="E452" s="60" t="str">
        <f>tbl_performance[[#This Row],[employee_id]]&amp;"-"&amp;TEXT(tbl_performance[[#This Row],[month]],"mm")</f>
        <v>EMP1041-05</v>
      </c>
      <c r="F452" s="60">
        <f>COUNTIF(tbl_performance[employee_month_key],tbl_performance[[#This Row],[employee_month_key]])</f>
        <v>1</v>
      </c>
      <c r="G452" s="61">
        <f>tbl_performance[[#This Row],[achieved]]/tbl_performance[[#This Row],[target]]</f>
        <v>0.83023872679045096</v>
      </c>
      <c r="H452" s="60" t="str" cm="1">
        <f t="array" ref="H452">_xlfn.IFS(tbl_performance[[#This Row],[performance_pct]]&gt;=1.1,"Excellent",tbl_performance[[#This Row],[performance_pct]]&gt;=1,"Good",tbl_performance[[#This Row],[performance_pct]]&gt;=0.85,"Average",TRUE,"Poor")</f>
        <v>Poor</v>
      </c>
    </row>
    <row r="453" spans="1:8" ht="19.8" x14ac:dyDescent="0.65">
      <c r="A453" s="58" t="s">
        <v>116</v>
      </c>
      <c r="B453" s="59">
        <v>45809</v>
      </c>
      <c r="C453" s="60">
        <v>370</v>
      </c>
      <c r="D453" s="60">
        <v>329</v>
      </c>
      <c r="E453" s="60" t="str">
        <f>tbl_performance[[#This Row],[employee_id]]&amp;"-"&amp;TEXT(tbl_performance[[#This Row],[month]],"mm")</f>
        <v>EMP1041-06</v>
      </c>
      <c r="F453" s="60">
        <f>COUNTIF(tbl_performance[employee_month_key],tbl_performance[[#This Row],[employee_month_key]])</f>
        <v>1</v>
      </c>
      <c r="G453" s="61">
        <f>tbl_performance[[#This Row],[achieved]]/tbl_performance[[#This Row],[target]]</f>
        <v>0.88918918918918921</v>
      </c>
      <c r="H453" s="60" t="str" cm="1">
        <f t="array" ref="H45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54" spans="1:8" ht="19.8" x14ac:dyDescent="0.65">
      <c r="A454" s="58" t="s">
        <v>116</v>
      </c>
      <c r="B454" s="59">
        <v>45839</v>
      </c>
      <c r="C454" s="60">
        <v>377</v>
      </c>
      <c r="D454" s="60">
        <v>294</v>
      </c>
      <c r="E454" s="60" t="str">
        <f>tbl_performance[[#This Row],[employee_id]]&amp;"-"&amp;TEXT(tbl_performance[[#This Row],[month]],"mm")</f>
        <v>EMP1041-07</v>
      </c>
      <c r="F454" s="60">
        <f>COUNTIF(tbl_performance[employee_month_key],tbl_performance[[#This Row],[employee_month_key]])</f>
        <v>1</v>
      </c>
      <c r="G454" s="61">
        <f>tbl_performance[[#This Row],[achieved]]/tbl_performance[[#This Row],[target]]</f>
        <v>0.77984084880636606</v>
      </c>
      <c r="H454" s="60" t="str" cm="1">
        <f t="array" ref="H454">_xlfn.IFS(tbl_performance[[#This Row],[performance_pct]]&gt;=1.1,"Excellent",tbl_performance[[#This Row],[performance_pct]]&gt;=1,"Good",tbl_performance[[#This Row],[performance_pct]]&gt;=0.85,"Average",TRUE,"Poor")</f>
        <v>Poor</v>
      </c>
    </row>
    <row r="455" spans="1:8" ht="19.8" x14ac:dyDescent="0.65">
      <c r="A455" s="58" t="s">
        <v>116</v>
      </c>
      <c r="B455" s="59">
        <v>45870</v>
      </c>
      <c r="C455" s="60">
        <v>366</v>
      </c>
      <c r="D455" s="60">
        <v>309</v>
      </c>
      <c r="E455" s="60" t="str">
        <f>tbl_performance[[#This Row],[employee_id]]&amp;"-"&amp;TEXT(tbl_performance[[#This Row],[month]],"mm")</f>
        <v>EMP1041-08</v>
      </c>
      <c r="F455" s="60">
        <f>COUNTIF(tbl_performance[employee_month_key],tbl_performance[[#This Row],[employee_month_key]])</f>
        <v>1</v>
      </c>
      <c r="G455" s="61">
        <f>tbl_performance[[#This Row],[achieved]]/tbl_performance[[#This Row],[target]]</f>
        <v>0.84426229508196726</v>
      </c>
      <c r="H455" s="60" t="str" cm="1">
        <f t="array" ref="H455">_xlfn.IFS(tbl_performance[[#This Row],[performance_pct]]&gt;=1.1,"Excellent",tbl_performance[[#This Row],[performance_pct]]&gt;=1,"Good",tbl_performance[[#This Row],[performance_pct]]&gt;=0.85,"Average",TRUE,"Poor")</f>
        <v>Poor</v>
      </c>
    </row>
    <row r="456" spans="1:8" ht="19.8" x14ac:dyDescent="0.65">
      <c r="A456" s="58" t="s">
        <v>116</v>
      </c>
      <c r="B456" s="59">
        <v>45901</v>
      </c>
      <c r="C456" s="60">
        <v>377</v>
      </c>
      <c r="D456" s="60">
        <v>314</v>
      </c>
      <c r="E456" s="60" t="str">
        <f>tbl_performance[[#This Row],[employee_id]]&amp;"-"&amp;TEXT(tbl_performance[[#This Row],[month]],"mm")</f>
        <v>EMP1041-09</v>
      </c>
      <c r="F456" s="60">
        <f>COUNTIF(tbl_performance[employee_month_key],tbl_performance[[#This Row],[employee_month_key]])</f>
        <v>1</v>
      </c>
      <c r="G456" s="61">
        <f>tbl_performance[[#This Row],[achieved]]/tbl_performance[[#This Row],[target]]</f>
        <v>0.83289124668435011</v>
      </c>
      <c r="H456" s="60" t="str" cm="1">
        <f t="array" ref="H456">_xlfn.IFS(tbl_performance[[#This Row],[performance_pct]]&gt;=1.1,"Excellent",tbl_performance[[#This Row],[performance_pct]]&gt;=1,"Good",tbl_performance[[#This Row],[performance_pct]]&gt;=0.85,"Average",TRUE,"Poor")</f>
        <v>Poor</v>
      </c>
    </row>
    <row r="457" spans="1:8" ht="19.8" x14ac:dyDescent="0.65">
      <c r="A457" s="58" t="s">
        <v>116</v>
      </c>
      <c r="B457" s="59">
        <v>45931</v>
      </c>
      <c r="C457" s="60">
        <v>385</v>
      </c>
      <c r="D457" s="60">
        <v>326</v>
      </c>
      <c r="E457" s="60" t="str">
        <f>tbl_performance[[#This Row],[employee_id]]&amp;"-"&amp;TEXT(tbl_performance[[#This Row],[month]],"mm")</f>
        <v>EMP1041-10</v>
      </c>
      <c r="F457" s="60">
        <f>COUNTIF(tbl_performance[employee_month_key],tbl_performance[[#This Row],[employee_month_key]])</f>
        <v>1</v>
      </c>
      <c r="G457" s="61">
        <f>tbl_performance[[#This Row],[achieved]]/tbl_performance[[#This Row],[target]]</f>
        <v>0.8467532467532467</v>
      </c>
      <c r="H457" s="60" t="str" cm="1">
        <f t="array" ref="H457">_xlfn.IFS(tbl_performance[[#This Row],[performance_pct]]&gt;=1.1,"Excellent",tbl_performance[[#This Row],[performance_pct]]&gt;=1,"Good",tbl_performance[[#This Row],[performance_pct]]&gt;=0.85,"Average",TRUE,"Poor")</f>
        <v>Poor</v>
      </c>
    </row>
    <row r="458" spans="1:8" ht="19.8" x14ac:dyDescent="0.65">
      <c r="A458" s="58" t="s">
        <v>116</v>
      </c>
      <c r="B458" s="59">
        <v>45962</v>
      </c>
      <c r="C458" s="60">
        <v>377</v>
      </c>
      <c r="D458" s="60">
        <v>323</v>
      </c>
      <c r="E458" s="60" t="str">
        <f>tbl_performance[[#This Row],[employee_id]]&amp;"-"&amp;TEXT(tbl_performance[[#This Row],[month]],"mm")</f>
        <v>EMP1041-11</v>
      </c>
      <c r="F458" s="60">
        <f>COUNTIF(tbl_performance[employee_month_key],tbl_performance[[#This Row],[employee_month_key]])</f>
        <v>1</v>
      </c>
      <c r="G458" s="61">
        <f>tbl_performance[[#This Row],[achieved]]/tbl_performance[[#This Row],[target]]</f>
        <v>0.85676392572944293</v>
      </c>
      <c r="H458" s="60" t="str" cm="1">
        <f t="array" ref="H45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59" spans="1:8" ht="19.8" x14ac:dyDescent="0.65">
      <c r="A459" s="58" t="s">
        <v>116</v>
      </c>
      <c r="B459" s="59">
        <v>45992</v>
      </c>
      <c r="C459" s="60">
        <v>321</v>
      </c>
      <c r="D459" s="60">
        <v>282</v>
      </c>
      <c r="E459" s="60" t="str">
        <f>tbl_performance[[#This Row],[employee_id]]&amp;"-"&amp;TEXT(tbl_performance[[#This Row],[month]],"mm")</f>
        <v>EMP1041-12</v>
      </c>
      <c r="F459" s="60">
        <f>COUNTIF(tbl_performance[employee_month_key],tbl_performance[[#This Row],[employee_month_key]])</f>
        <v>1</v>
      </c>
      <c r="G459" s="61">
        <f>tbl_performance[[#This Row],[achieved]]/tbl_performance[[#This Row],[target]]</f>
        <v>0.87850467289719625</v>
      </c>
      <c r="H459" s="60" t="str" cm="1">
        <f t="array" ref="H45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60" spans="1:8" ht="19.8" x14ac:dyDescent="0.65">
      <c r="A460" s="58" t="s">
        <v>118</v>
      </c>
      <c r="B460" s="59">
        <v>45658</v>
      </c>
      <c r="C460" s="60">
        <v>79979</v>
      </c>
      <c r="D460" s="60">
        <v>77865</v>
      </c>
      <c r="E460" s="60" t="str">
        <f>tbl_performance[[#This Row],[employee_id]]&amp;"-"&amp;TEXT(tbl_performance[[#This Row],[month]],"mm")</f>
        <v>EMP1042-01</v>
      </c>
      <c r="F460" s="60">
        <f>COUNTIF(tbl_performance[employee_month_key],tbl_performance[[#This Row],[employee_month_key]])</f>
        <v>1</v>
      </c>
      <c r="G460" s="61">
        <f>tbl_performance[[#This Row],[achieved]]/tbl_performance[[#This Row],[target]]</f>
        <v>0.97356806161617426</v>
      </c>
      <c r="H460" s="60" t="str" cm="1">
        <f t="array" ref="H46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61" spans="1:8" ht="19.8" x14ac:dyDescent="0.65">
      <c r="A461" s="58" t="s">
        <v>118</v>
      </c>
      <c r="B461" s="59">
        <v>45689</v>
      </c>
      <c r="C461" s="60">
        <v>74380</v>
      </c>
      <c r="D461" s="60">
        <v>61488</v>
      </c>
      <c r="E461" s="60" t="str">
        <f>tbl_performance[[#This Row],[employee_id]]&amp;"-"&amp;TEXT(tbl_performance[[#This Row],[month]],"mm")</f>
        <v>EMP1042-02</v>
      </c>
      <c r="F461" s="60">
        <f>COUNTIF(tbl_performance[employee_month_key],tbl_performance[[#This Row],[employee_month_key]])</f>
        <v>1</v>
      </c>
      <c r="G461" s="61">
        <f>tbl_performance[[#This Row],[achieved]]/tbl_performance[[#This Row],[target]]</f>
        <v>0.82667383705297126</v>
      </c>
      <c r="H461" s="60" t="str" cm="1">
        <f t="array" ref="H461">_xlfn.IFS(tbl_performance[[#This Row],[performance_pct]]&gt;=1.1,"Excellent",tbl_performance[[#This Row],[performance_pct]]&gt;=1,"Good",tbl_performance[[#This Row],[performance_pct]]&gt;=0.85,"Average",TRUE,"Poor")</f>
        <v>Poor</v>
      </c>
    </row>
    <row r="462" spans="1:8" ht="19.8" x14ac:dyDescent="0.65">
      <c r="A462" s="58" t="s">
        <v>118</v>
      </c>
      <c r="B462" s="59">
        <v>45717</v>
      </c>
      <c r="C462" s="60">
        <v>81578</v>
      </c>
      <c r="D462" s="60">
        <v>84578</v>
      </c>
      <c r="E462" s="60" t="str">
        <f>tbl_performance[[#This Row],[employee_id]]&amp;"-"&amp;TEXT(tbl_performance[[#This Row],[month]],"mm")</f>
        <v>EMP1042-03</v>
      </c>
      <c r="F462" s="60">
        <f>COUNTIF(tbl_performance[employee_month_key],tbl_performance[[#This Row],[employee_month_key]])</f>
        <v>1</v>
      </c>
      <c r="G462" s="61">
        <f>tbl_performance[[#This Row],[achieved]]/tbl_performance[[#This Row],[target]]</f>
        <v>1.0367746206084973</v>
      </c>
      <c r="H462" s="60" t="str" cm="1">
        <f t="array" ref="H462">_xlfn.IFS(tbl_performance[[#This Row],[performance_pct]]&gt;=1.1,"Excellent",tbl_performance[[#This Row],[performance_pct]]&gt;=1,"Good",tbl_performance[[#This Row],[performance_pct]]&gt;=0.85,"Average",TRUE,"Poor")</f>
        <v>Good</v>
      </c>
    </row>
    <row r="463" spans="1:8" ht="19.8" x14ac:dyDescent="0.65">
      <c r="A463" s="58" t="s">
        <v>118</v>
      </c>
      <c r="B463" s="59">
        <v>45748</v>
      </c>
      <c r="C463" s="60">
        <v>79979</v>
      </c>
      <c r="D463" s="60">
        <v>86889</v>
      </c>
      <c r="E463" s="60" t="str">
        <f>tbl_performance[[#This Row],[employee_id]]&amp;"-"&amp;TEXT(tbl_performance[[#This Row],[month]],"mm")</f>
        <v>EMP1042-04</v>
      </c>
      <c r="F463" s="60">
        <f>COUNTIF(tbl_performance[employee_month_key],tbl_performance[[#This Row],[employee_month_key]])</f>
        <v>1</v>
      </c>
      <c r="G463" s="61">
        <f>tbl_performance[[#This Row],[achieved]]/tbl_performance[[#This Row],[target]]</f>
        <v>1.0863976793908401</v>
      </c>
      <c r="H463" s="60" t="str" cm="1">
        <f t="array" ref="H463">_xlfn.IFS(tbl_performance[[#This Row],[performance_pct]]&gt;=1.1,"Excellent",tbl_performance[[#This Row],[performance_pct]]&gt;=1,"Good",tbl_performance[[#This Row],[performance_pct]]&gt;=0.85,"Average",TRUE,"Poor")</f>
        <v>Good</v>
      </c>
    </row>
    <row r="464" spans="1:8" ht="19.8" x14ac:dyDescent="0.65">
      <c r="A464" s="58" t="s">
        <v>118</v>
      </c>
      <c r="B464" s="59">
        <v>45778</v>
      </c>
      <c r="C464" s="60">
        <v>79979</v>
      </c>
      <c r="D464" s="60">
        <v>79432</v>
      </c>
      <c r="E464" s="60" t="str">
        <f>tbl_performance[[#This Row],[employee_id]]&amp;"-"&amp;TEXT(tbl_performance[[#This Row],[month]],"mm")</f>
        <v>EMP1042-05</v>
      </c>
      <c r="F464" s="60">
        <f>COUNTIF(tbl_performance[employee_month_key],tbl_performance[[#This Row],[employee_month_key]])</f>
        <v>1</v>
      </c>
      <c r="G464" s="61">
        <f>tbl_performance[[#This Row],[achieved]]/tbl_performance[[#This Row],[target]]</f>
        <v>0.99316070468497986</v>
      </c>
      <c r="H464" s="60" t="str" cm="1">
        <f t="array" ref="H46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65" spans="1:8" ht="19.8" x14ac:dyDescent="0.65">
      <c r="A465" s="58" t="s">
        <v>118</v>
      </c>
      <c r="B465" s="59">
        <v>45809</v>
      </c>
      <c r="C465" s="60">
        <v>78379</v>
      </c>
      <c r="D465" s="60">
        <v>89393</v>
      </c>
      <c r="E465" s="60" t="str">
        <f>tbl_performance[[#This Row],[employee_id]]&amp;"-"&amp;TEXT(tbl_performance[[#This Row],[month]],"mm")</f>
        <v>EMP1042-06</v>
      </c>
      <c r="F465" s="60">
        <f>COUNTIF(tbl_performance[employee_month_key],tbl_performance[[#This Row],[employee_month_key]])</f>
        <v>1</v>
      </c>
      <c r="G465" s="61">
        <f>tbl_performance[[#This Row],[achieved]]/tbl_performance[[#This Row],[target]]</f>
        <v>1.1405223337883872</v>
      </c>
      <c r="H465" s="60" t="str" cm="1">
        <f t="array" ref="H46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66" spans="1:8" ht="19.8" x14ac:dyDescent="0.65">
      <c r="A466" s="58" t="s">
        <v>118</v>
      </c>
      <c r="B466" s="59">
        <v>45839</v>
      </c>
      <c r="C466" s="60">
        <v>79979</v>
      </c>
      <c r="D466" s="60">
        <v>70097</v>
      </c>
      <c r="E466" s="60" t="str">
        <f>tbl_performance[[#This Row],[employee_id]]&amp;"-"&amp;TEXT(tbl_performance[[#This Row],[month]],"mm")</f>
        <v>EMP1042-07</v>
      </c>
      <c r="F466" s="60">
        <f>COUNTIF(tbl_performance[employee_month_key],tbl_performance[[#This Row],[employee_month_key]])</f>
        <v>1</v>
      </c>
      <c r="G466" s="61">
        <f>tbl_performance[[#This Row],[achieved]]/tbl_performance[[#This Row],[target]]</f>
        <v>0.8764425661736206</v>
      </c>
      <c r="H466" s="60" t="str" cm="1">
        <f t="array" ref="H46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67" spans="1:8" ht="19.8" x14ac:dyDescent="0.65">
      <c r="A467" s="58" t="s">
        <v>118</v>
      </c>
      <c r="B467" s="59">
        <v>45870</v>
      </c>
      <c r="C467" s="60">
        <v>77579</v>
      </c>
      <c r="D467" s="60">
        <v>64420</v>
      </c>
      <c r="E467" s="60" t="str">
        <f>tbl_performance[[#This Row],[employee_id]]&amp;"-"&amp;TEXT(tbl_performance[[#This Row],[month]],"mm")</f>
        <v>EMP1042-08</v>
      </c>
      <c r="F467" s="60">
        <f>COUNTIF(tbl_performance[employee_month_key],tbl_performance[[#This Row],[employee_month_key]])</f>
        <v>1</v>
      </c>
      <c r="G467" s="61">
        <f>tbl_performance[[#This Row],[achieved]]/tbl_performance[[#This Row],[target]]</f>
        <v>0.83037935523788653</v>
      </c>
      <c r="H467" s="60" t="str" cm="1">
        <f t="array" ref="H467">_xlfn.IFS(tbl_performance[[#This Row],[performance_pct]]&gt;=1.1,"Excellent",tbl_performance[[#This Row],[performance_pct]]&gt;=1,"Good",tbl_performance[[#This Row],[performance_pct]]&gt;=0.85,"Average",TRUE,"Poor")</f>
        <v>Poor</v>
      </c>
    </row>
    <row r="468" spans="1:8" ht="19.8" x14ac:dyDescent="0.65">
      <c r="A468" s="58" t="s">
        <v>118</v>
      </c>
      <c r="B468" s="59">
        <v>45901</v>
      </c>
      <c r="C468" s="60">
        <v>79979</v>
      </c>
      <c r="D468" s="60">
        <v>62223</v>
      </c>
      <c r="E468" s="60" t="str">
        <f>tbl_performance[[#This Row],[employee_id]]&amp;"-"&amp;TEXT(tbl_performance[[#This Row],[month]],"mm")</f>
        <v>EMP1042-09</v>
      </c>
      <c r="F468" s="60">
        <f>COUNTIF(tbl_performance[employee_month_key],tbl_performance[[#This Row],[employee_month_key]])</f>
        <v>1</v>
      </c>
      <c r="G468" s="61">
        <f>tbl_performance[[#This Row],[achieved]]/tbl_performance[[#This Row],[target]]</f>
        <v>0.77799172282724216</v>
      </c>
      <c r="H468" s="60" t="str" cm="1">
        <f t="array" ref="H468">_xlfn.IFS(tbl_performance[[#This Row],[performance_pct]]&gt;=1.1,"Excellent",tbl_performance[[#This Row],[performance_pct]]&gt;=1,"Good",tbl_performance[[#This Row],[performance_pct]]&gt;=0.85,"Average",TRUE,"Poor")</f>
        <v>Poor</v>
      </c>
    </row>
    <row r="469" spans="1:8" ht="19.8" x14ac:dyDescent="0.65">
      <c r="A469" s="58" t="s">
        <v>118</v>
      </c>
      <c r="B469" s="59">
        <v>45931</v>
      </c>
      <c r="C469" s="60">
        <v>81578</v>
      </c>
      <c r="D469" s="60">
        <v>90262</v>
      </c>
      <c r="E469" s="60" t="str">
        <f>tbl_performance[[#This Row],[employee_id]]&amp;"-"&amp;TEXT(tbl_performance[[#This Row],[month]],"mm")</f>
        <v>EMP1042-10</v>
      </c>
      <c r="F469" s="60">
        <f>COUNTIF(tbl_performance[employee_month_key],tbl_performance[[#This Row],[employee_month_key]])</f>
        <v>1</v>
      </c>
      <c r="G469" s="61">
        <f>tbl_performance[[#This Row],[achieved]]/tbl_performance[[#This Row],[target]]</f>
        <v>1.1064502684547304</v>
      </c>
      <c r="H469" s="60" t="str" cm="1">
        <f t="array" ref="H46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70" spans="1:8" ht="19.8" x14ac:dyDescent="0.65">
      <c r="A470" s="58" t="s">
        <v>118</v>
      </c>
      <c r="B470" s="59">
        <v>45962</v>
      </c>
      <c r="C470" s="60">
        <v>79979</v>
      </c>
      <c r="D470" s="60">
        <v>89841</v>
      </c>
      <c r="E470" s="60" t="str">
        <f>tbl_performance[[#This Row],[employee_id]]&amp;"-"&amp;TEXT(tbl_performance[[#This Row],[month]],"mm")</f>
        <v>EMP1042-11</v>
      </c>
      <c r="F470" s="60">
        <f>COUNTIF(tbl_performance[employee_month_key],tbl_performance[[#This Row],[employee_month_key]])</f>
        <v>1</v>
      </c>
      <c r="G470" s="61">
        <f>tbl_performance[[#This Row],[achieved]]/tbl_performance[[#This Row],[target]]</f>
        <v>1.1233073681841483</v>
      </c>
      <c r="H470" s="60" t="str" cm="1">
        <f t="array" ref="H47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471" spans="1:8" ht="19.8" x14ac:dyDescent="0.65">
      <c r="A471" s="58" t="s">
        <v>118</v>
      </c>
      <c r="B471" s="59">
        <v>45992</v>
      </c>
      <c r="C471" s="60">
        <v>67982</v>
      </c>
      <c r="D471" s="60">
        <v>74324</v>
      </c>
      <c r="E471" s="60" t="str">
        <f>tbl_performance[[#This Row],[employee_id]]&amp;"-"&amp;TEXT(tbl_performance[[#This Row],[month]],"mm")</f>
        <v>EMP1042-12</v>
      </c>
      <c r="F471" s="60">
        <f>COUNTIF(tbl_performance[employee_month_key],tbl_performance[[#This Row],[employee_month_key]])</f>
        <v>1</v>
      </c>
      <c r="G471" s="61">
        <f>tbl_performance[[#This Row],[achieved]]/tbl_performance[[#This Row],[target]]</f>
        <v>1.0932894001353299</v>
      </c>
      <c r="H471" s="60" t="str" cm="1">
        <f t="array" ref="H471">_xlfn.IFS(tbl_performance[[#This Row],[performance_pct]]&gt;=1.1,"Excellent",tbl_performance[[#This Row],[performance_pct]]&gt;=1,"Good",tbl_performance[[#This Row],[performance_pct]]&gt;=0.85,"Average",TRUE,"Poor")</f>
        <v>Good</v>
      </c>
    </row>
    <row r="472" spans="1:8" ht="19.8" x14ac:dyDescent="0.65">
      <c r="A472" s="58" t="s">
        <v>120</v>
      </c>
      <c r="B472" s="59">
        <v>45931</v>
      </c>
      <c r="C472" s="60">
        <v>214</v>
      </c>
      <c r="D472" s="60">
        <v>174</v>
      </c>
      <c r="E472" s="60" t="str">
        <f>tbl_performance[[#This Row],[employee_id]]&amp;"-"&amp;TEXT(tbl_performance[[#This Row],[month]],"mm")</f>
        <v>EMP1043-10</v>
      </c>
      <c r="F472" s="60">
        <f>COUNTIF(tbl_performance[employee_month_key],tbl_performance[[#This Row],[employee_month_key]])</f>
        <v>1</v>
      </c>
      <c r="G472" s="61">
        <f>tbl_performance[[#This Row],[achieved]]/tbl_performance[[#This Row],[target]]</f>
        <v>0.81308411214953269</v>
      </c>
      <c r="H472" s="60" t="str" cm="1">
        <f t="array" ref="H472">_xlfn.IFS(tbl_performance[[#This Row],[performance_pct]]&gt;=1.1,"Excellent",tbl_performance[[#This Row],[performance_pct]]&gt;=1,"Good",tbl_performance[[#This Row],[performance_pct]]&gt;=0.85,"Average",TRUE,"Poor")</f>
        <v>Poor</v>
      </c>
    </row>
    <row r="473" spans="1:8" ht="19.8" x14ac:dyDescent="0.65">
      <c r="A473" s="58" t="s">
        <v>120</v>
      </c>
      <c r="B473" s="59">
        <v>45962</v>
      </c>
      <c r="C473" s="60">
        <v>210</v>
      </c>
      <c r="D473" s="60">
        <v>226</v>
      </c>
      <c r="E473" s="60" t="str">
        <f>tbl_performance[[#This Row],[employee_id]]&amp;"-"&amp;TEXT(tbl_performance[[#This Row],[month]],"mm")</f>
        <v>EMP1043-11</v>
      </c>
      <c r="F473" s="60">
        <f>COUNTIF(tbl_performance[employee_month_key],tbl_performance[[#This Row],[employee_month_key]])</f>
        <v>1</v>
      </c>
      <c r="G473" s="61">
        <f>tbl_performance[[#This Row],[achieved]]/tbl_performance[[#This Row],[target]]</f>
        <v>1.0761904761904761</v>
      </c>
      <c r="H473" s="60" t="str" cm="1">
        <f t="array" ref="H473">_xlfn.IFS(tbl_performance[[#This Row],[performance_pct]]&gt;=1.1,"Excellent",tbl_performance[[#This Row],[performance_pct]]&gt;=1,"Good",tbl_performance[[#This Row],[performance_pct]]&gt;=0.85,"Average",TRUE,"Poor")</f>
        <v>Good</v>
      </c>
    </row>
    <row r="474" spans="1:8" ht="19.8" x14ac:dyDescent="0.65">
      <c r="A474" s="58" t="s">
        <v>120</v>
      </c>
      <c r="B474" s="59">
        <v>45992</v>
      </c>
      <c r="C474" s="60">
        <v>178</v>
      </c>
      <c r="D474" s="60">
        <v>165</v>
      </c>
      <c r="E474" s="60" t="str">
        <f>tbl_performance[[#This Row],[employee_id]]&amp;"-"&amp;TEXT(tbl_performance[[#This Row],[month]],"mm")</f>
        <v>EMP1043-12</v>
      </c>
      <c r="F474" s="60">
        <f>COUNTIF(tbl_performance[employee_month_key],tbl_performance[[#This Row],[employee_month_key]])</f>
        <v>1</v>
      </c>
      <c r="G474" s="61">
        <f>tbl_performance[[#This Row],[achieved]]/tbl_performance[[#This Row],[target]]</f>
        <v>0.9269662921348315</v>
      </c>
      <c r="H474" s="60" t="str" cm="1">
        <f t="array" ref="H47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75" spans="1:8" ht="19.8" x14ac:dyDescent="0.65">
      <c r="A475" s="58" t="s">
        <v>122</v>
      </c>
      <c r="B475" s="59">
        <v>45748</v>
      </c>
      <c r="C475" s="60">
        <v>42</v>
      </c>
      <c r="D475" s="60">
        <v>45</v>
      </c>
      <c r="E475" s="60" t="str">
        <f>tbl_performance[[#This Row],[employee_id]]&amp;"-"&amp;TEXT(tbl_performance[[#This Row],[month]],"mm")</f>
        <v>EMP1044-04</v>
      </c>
      <c r="F475" s="60">
        <f>COUNTIF(tbl_performance[employee_month_key],tbl_performance[[#This Row],[employee_month_key]])</f>
        <v>1</v>
      </c>
      <c r="G475" s="61">
        <f>tbl_performance[[#This Row],[achieved]]/tbl_performance[[#This Row],[target]]</f>
        <v>1.0714285714285714</v>
      </c>
      <c r="H475" s="60" t="str" cm="1">
        <f t="array" ref="H475">_xlfn.IFS(tbl_performance[[#This Row],[performance_pct]]&gt;=1.1,"Excellent",tbl_performance[[#This Row],[performance_pct]]&gt;=1,"Good",tbl_performance[[#This Row],[performance_pct]]&gt;=0.85,"Average",TRUE,"Poor")</f>
        <v>Good</v>
      </c>
    </row>
    <row r="476" spans="1:8" ht="19.8" x14ac:dyDescent="0.65">
      <c r="A476" s="58" t="s">
        <v>122</v>
      </c>
      <c r="B476" s="59">
        <v>45778</v>
      </c>
      <c r="C476" s="60">
        <v>42</v>
      </c>
      <c r="D476" s="60">
        <v>44</v>
      </c>
      <c r="E476" s="60" t="str">
        <f>tbl_performance[[#This Row],[employee_id]]&amp;"-"&amp;TEXT(tbl_performance[[#This Row],[month]],"mm")</f>
        <v>EMP1044-05</v>
      </c>
      <c r="F476" s="60">
        <f>COUNTIF(tbl_performance[employee_month_key],tbl_performance[[#This Row],[employee_month_key]])</f>
        <v>1</v>
      </c>
      <c r="G476" s="61">
        <f>tbl_performance[[#This Row],[achieved]]/tbl_performance[[#This Row],[target]]</f>
        <v>1.0476190476190477</v>
      </c>
      <c r="H476" s="60" t="str" cm="1">
        <f t="array" ref="H476">_xlfn.IFS(tbl_performance[[#This Row],[performance_pct]]&gt;=1.1,"Excellent",tbl_performance[[#This Row],[performance_pct]]&gt;=1,"Good",tbl_performance[[#This Row],[performance_pct]]&gt;=0.85,"Average",TRUE,"Poor")</f>
        <v>Good</v>
      </c>
    </row>
    <row r="477" spans="1:8" ht="19.8" x14ac:dyDescent="0.65">
      <c r="A477" s="58" t="s">
        <v>122</v>
      </c>
      <c r="B477" s="59">
        <v>45809</v>
      </c>
      <c r="C477" s="60">
        <v>41</v>
      </c>
      <c r="D477" s="60">
        <v>43</v>
      </c>
      <c r="E477" s="60" t="str">
        <f>tbl_performance[[#This Row],[employee_id]]&amp;"-"&amp;TEXT(tbl_performance[[#This Row],[month]],"mm")</f>
        <v>EMP1044-06</v>
      </c>
      <c r="F477" s="60">
        <f>COUNTIF(tbl_performance[employee_month_key],tbl_performance[[#This Row],[employee_month_key]])</f>
        <v>1</v>
      </c>
      <c r="G477" s="61">
        <f>tbl_performance[[#This Row],[achieved]]/tbl_performance[[#This Row],[target]]</f>
        <v>1.0487804878048781</v>
      </c>
      <c r="H477" s="60" t="str" cm="1">
        <f t="array" ref="H477">_xlfn.IFS(tbl_performance[[#This Row],[performance_pct]]&gt;=1.1,"Excellent",tbl_performance[[#This Row],[performance_pct]]&gt;=1,"Good",tbl_performance[[#This Row],[performance_pct]]&gt;=0.85,"Average",TRUE,"Poor")</f>
        <v>Good</v>
      </c>
    </row>
    <row r="478" spans="1:8" ht="19.8" x14ac:dyDescent="0.65">
      <c r="A478" s="58" t="s">
        <v>122</v>
      </c>
      <c r="B478" s="59">
        <v>45839</v>
      </c>
      <c r="C478" s="60">
        <v>42</v>
      </c>
      <c r="D478" s="60">
        <v>42</v>
      </c>
      <c r="E478" s="60" t="str">
        <f>tbl_performance[[#This Row],[employee_id]]&amp;"-"&amp;TEXT(tbl_performance[[#This Row],[month]],"mm")</f>
        <v>EMP1044-07</v>
      </c>
      <c r="F478" s="60">
        <f>COUNTIF(tbl_performance[employee_month_key],tbl_performance[[#This Row],[employee_month_key]])</f>
        <v>1</v>
      </c>
      <c r="G478" s="61">
        <f>tbl_performance[[#This Row],[achieved]]/tbl_performance[[#This Row],[target]]</f>
        <v>1</v>
      </c>
      <c r="H478" s="60" t="str" cm="1">
        <f t="array" ref="H478">_xlfn.IFS(tbl_performance[[#This Row],[performance_pct]]&gt;=1.1,"Excellent",tbl_performance[[#This Row],[performance_pct]]&gt;=1,"Good",tbl_performance[[#This Row],[performance_pct]]&gt;=0.85,"Average",TRUE,"Poor")</f>
        <v>Good</v>
      </c>
    </row>
    <row r="479" spans="1:8" ht="19.8" x14ac:dyDescent="0.65">
      <c r="A479" s="58" t="s">
        <v>122</v>
      </c>
      <c r="B479" s="59">
        <v>45870</v>
      </c>
      <c r="C479" s="60">
        <v>41</v>
      </c>
      <c r="D479" s="60">
        <v>42</v>
      </c>
      <c r="E479" s="60" t="str">
        <f>tbl_performance[[#This Row],[employee_id]]&amp;"-"&amp;TEXT(tbl_performance[[#This Row],[month]],"mm")</f>
        <v>EMP1044-08</v>
      </c>
      <c r="F479" s="60">
        <f>COUNTIF(tbl_performance[employee_month_key],tbl_performance[[#This Row],[employee_month_key]])</f>
        <v>1</v>
      </c>
      <c r="G479" s="61">
        <f>tbl_performance[[#This Row],[achieved]]/tbl_performance[[#This Row],[target]]</f>
        <v>1.024390243902439</v>
      </c>
      <c r="H479" s="60" t="str" cm="1">
        <f t="array" ref="H479">_xlfn.IFS(tbl_performance[[#This Row],[performance_pct]]&gt;=1.1,"Excellent",tbl_performance[[#This Row],[performance_pct]]&gt;=1,"Good",tbl_performance[[#This Row],[performance_pct]]&gt;=0.85,"Average",TRUE,"Poor")</f>
        <v>Good</v>
      </c>
    </row>
    <row r="480" spans="1:8" ht="19.8" x14ac:dyDescent="0.65">
      <c r="A480" s="58" t="s">
        <v>122</v>
      </c>
      <c r="B480" s="59">
        <v>45901</v>
      </c>
      <c r="C480" s="60">
        <v>42</v>
      </c>
      <c r="D480" s="60">
        <v>46</v>
      </c>
      <c r="E480" s="60" t="str">
        <f>tbl_performance[[#This Row],[employee_id]]&amp;"-"&amp;TEXT(tbl_performance[[#This Row],[month]],"mm")</f>
        <v>EMP1044-09</v>
      </c>
      <c r="F480" s="60">
        <f>COUNTIF(tbl_performance[employee_month_key],tbl_performance[[#This Row],[employee_month_key]])</f>
        <v>1</v>
      </c>
      <c r="G480" s="61">
        <f>tbl_performance[[#This Row],[achieved]]/tbl_performance[[#This Row],[target]]</f>
        <v>1.0952380952380953</v>
      </c>
      <c r="H480" s="60" t="str" cm="1">
        <f t="array" ref="H480">_xlfn.IFS(tbl_performance[[#This Row],[performance_pct]]&gt;=1.1,"Excellent",tbl_performance[[#This Row],[performance_pct]]&gt;=1,"Good",tbl_performance[[#This Row],[performance_pct]]&gt;=0.85,"Average",TRUE,"Poor")</f>
        <v>Good</v>
      </c>
    </row>
    <row r="481" spans="1:8" ht="19.8" x14ac:dyDescent="0.65">
      <c r="A481" s="58" t="s">
        <v>122</v>
      </c>
      <c r="B481" s="59">
        <v>45931</v>
      </c>
      <c r="C481" s="60">
        <v>43</v>
      </c>
      <c r="D481" s="60">
        <v>47</v>
      </c>
      <c r="E481" s="60" t="str">
        <f>tbl_performance[[#This Row],[employee_id]]&amp;"-"&amp;TEXT(tbl_performance[[#This Row],[month]],"mm")</f>
        <v>EMP1044-10</v>
      </c>
      <c r="F481" s="60">
        <f>COUNTIF(tbl_performance[employee_month_key],tbl_performance[[#This Row],[employee_month_key]])</f>
        <v>1</v>
      </c>
      <c r="G481" s="61">
        <f>tbl_performance[[#This Row],[achieved]]/tbl_performance[[#This Row],[target]]</f>
        <v>1.0930232558139534</v>
      </c>
      <c r="H481" s="60" t="str" cm="1">
        <f t="array" ref="H481">_xlfn.IFS(tbl_performance[[#This Row],[performance_pct]]&gt;=1.1,"Excellent",tbl_performance[[#This Row],[performance_pct]]&gt;=1,"Good",tbl_performance[[#This Row],[performance_pct]]&gt;=0.85,"Average",TRUE,"Poor")</f>
        <v>Good</v>
      </c>
    </row>
    <row r="482" spans="1:8" ht="19.8" x14ac:dyDescent="0.65">
      <c r="A482" s="58" t="s">
        <v>122</v>
      </c>
      <c r="B482" s="59">
        <v>45962</v>
      </c>
      <c r="C482" s="60">
        <v>42</v>
      </c>
      <c r="D482" s="60">
        <v>46</v>
      </c>
      <c r="E482" s="60" t="str">
        <f>tbl_performance[[#This Row],[employee_id]]&amp;"-"&amp;TEXT(tbl_performance[[#This Row],[month]],"mm")</f>
        <v>EMP1044-11</v>
      </c>
      <c r="F482" s="60">
        <f>COUNTIF(tbl_performance[employee_month_key],tbl_performance[[#This Row],[employee_month_key]])</f>
        <v>1</v>
      </c>
      <c r="G482" s="61">
        <f>tbl_performance[[#This Row],[achieved]]/tbl_performance[[#This Row],[target]]</f>
        <v>1.0952380952380953</v>
      </c>
      <c r="H482" s="60" t="str" cm="1">
        <f t="array" ref="H482">_xlfn.IFS(tbl_performance[[#This Row],[performance_pct]]&gt;=1.1,"Excellent",tbl_performance[[#This Row],[performance_pct]]&gt;=1,"Good",tbl_performance[[#This Row],[performance_pct]]&gt;=0.85,"Average",TRUE,"Poor")</f>
        <v>Good</v>
      </c>
    </row>
    <row r="483" spans="1:8" ht="19.8" x14ac:dyDescent="0.65">
      <c r="A483" s="58" t="s">
        <v>122</v>
      </c>
      <c r="B483" s="59">
        <v>45992</v>
      </c>
      <c r="C483" s="60">
        <v>36</v>
      </c>
      <c r="D483" s="60">
        <v>35</v>
      </c>
      <c r="E483" s="60" t="str">
        <f>tbl_performance[[#This Row],[employee_id]]&amp;"-"&amp;TEXT(tbl_performance[[#This Row],[month]],"mm")</f>
        <v>EMP1044-12</v>
      </c>
      <c r="F483" s="60">
        <f>COUNTIF(tbl_performance[employee_month_key],tbl_performance[[#This Row],[employee_month_key]])</f>
        <v>1</v>
      </c>
      <c r="G483" s="61">
        <f>tbl_performance[[#This Row],[achieved]]/tbl_performance[[#This Row],[target]]</f>
        <v>0.97222222222222221</v>
      </c>
      <c r="H483" s="60" t="str" cm="1">
        <f t="array" ref="H48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84" spans="1:8" ht="19.8" x14ac:dyDescent="0.65">
      <c r="A484" s="58" t="s">
        <v>124</v>
      </c>
      <c r="B484" s="59">
        <v>45658</v>
      </c>
      <c r="C484" s="60">
        <v>171159</v>
      </c>
      <c r="D484" s="60">
        <v>131861</v>
      </c>
      <c r="E484" s="60" t="str">
        <f>tbl_performance[[#This Row],[employee_id]]&amp;"-"&amp;TEXT(tbl_performance[[#This Row],[month]],"mm")</f>
        <v>EMP1045-01</v>
      </c>
      <c r="F484" s="60">
        <f>COUNTIF(tbl_performance[employee_month_key],tbl_performance[[#This Row],[employee_month_key]])</f>
        <v>1</v>
      </c>
      <c r="G484" s="61">
        <f>tbl_performance[[#This Row],[achieved]]/tbl_performance[[#This Row],[target]]</f>
        <v>0.7704006216442022</v>
      </c>
      <c r="H484" s="60" t="str" cm="1">
        <f t="array" ref="H484">_xlfn.IFS(tbl_performance[[#This Row],[performance_pct]]&gt;=1.1,"Excellent",tbl_performance[[#This Row],[performance_pct]]&gt;=1,"Good",tbl_performance[[#This Row],[performance_pct]]&gt;=0.85,"Average",TRUE,"Poor")</f>
        <v>Poor</v>
      </c>
    </row>
    <row r="485" spans="1:8" ht="19.8" x14ac:dyDescent="0.65">
      <c r="A485" s="58" t="s">
        <v>124</v>
      </c>
      <c r="B485" s="59">
        <v>45689</v>
      </c>
      <c r="C485" s="60">
        <v>159178</v>
      </c>
      <c r="D485" s="60">
        <v>128866</v>
      </c>
      <c r="E485" s="60" t="str">
        <f>tbl_performance[[#This Row],[employee_id]]&amp;"-"&amp;TEXT(tbl_performance[[#This Row],[month]],"mm")</f>
        <v>EMP1045-02</v>
      </c>
      <c r="F485" s="60">
        <f>COUNTIF(tbl_performance[employee_month_key],tbl_performance[[#This Row],[employee_month_key]])</f>
        <v>1</v>
      </c>
      <c r="G485" s="61">
        <f>tbl_performance[[#This Row],[achieved]]/tbl_performance[[#This Row],[target]]</f>
        <v>0.80957167447762879</v>
      </c>
      <c r="H485" s="60" t="str" cm="1">
        <f t="array" ref="H485">_xlfn.IFS(tbl_performance[[#This Row],[performance_pct]]&gt;=1.1,"Excellent",tbl_performance[[#This Row],[performance_pct]]&gt;=1,"Good",tbl_performance[[#This Row],[performance_pct]]&gt;=0.85,"Average",TRUE,"Poor")</f>
        <v>Poor</v>
      </c>
    </row>
    <row r="486" spans="1:8" ht="19.8" x14ac:dyDescent="0.65">
      <c r="A486" s="58" t="s">
        <v>124</v>
      </c>
      <c r="B486" s="59">
        <v>45717</v>
      </c>
      <c r="C486" s="60">
        <v>174582</v>
      </c>
      <c r="D486" s="60">
        <v>164864</v>
      </c>
      <c r="E486" s="60" t="str">
        <f>tbl_performance[[#This Row],[employee_id]]&amp;"-"&amp;TEXT(tbl_performance[[#This Row],[month]],"mm")</f>
        <v>EMP1045-03</v>
      </c>
      <c r="F486" s="60">
        <f>COUNTIF(tbl_performance[employee_month_key],tbl_performance[[#This Row],[employee_month_key]])</f>
        <v>1</v>
      </c>
      <c r="G486" s="61">
        <f>tbl_performance[[#This Row],[achieved]]/tbl_performance[[#This Row],[target]]</f>
        <v>0.94433561306434799</v>
      </c>
      <c r="H486" s="60" t="str" cm="1">
        <f t="array" ref="H48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87" spans="1:8" ht="19.8" x14ac:dyDescent="0.65">
      <c r="A487" s="58" t="s">
        <v>124</v>
      </c>
      <c r="B487" s="59">
        <v>45748</v>
      </c>
      <c r="C487" s="60">
        <v>171159</v>
      </c>
      <c r="D487" s="60">
        <v>114110</v>
      </c>
      <c r="E487" s="60" t="str">
        <f>tbl_performance[[#This Row],[employee_id]]&amp;"-"&amp;TEXT(tbl_performance[[#This Row],[month]],"mm")</f>
        <v>EMP1045-04</v>
      </c>
      <c r="F487" s="60">
        <f>COUNTIF(tbl_performance[employee_month_key],tbl_performance[[#This Row],[employee_month_key]])</f>
        <v>1</v>
      </c>
      <c r="G487" s="61">
        <f>tbl_performance[[#This Row],[achieved]]/tbl_performance[[#This Row],[target]]</f>
        <v>0.66669003674945515</v>
      </c>
      <c r="H487" s="60" t="str" cm="1">
        <f t="array" ref="H487">_xlfn.IFS(tbl_performance[[#This Row],[performance_pct]]&gt;=1.1,"Excellent",tbl_performance[[#This Row],[performance_pct]]&gt;=1,"Good",tbl_performance[[#This Row],[performance_pct]]&gt;=0.85,"Average",TRUE,"Poor")</f>
        <v>Poor</v>
      </c>
    </row>
    <row r="488" spans="1:8" ht="19.8" x14ac:dyDescent="0.65">
      <c r="A488" s="58" t="s">
        <v>124</v>
      </c>
      <c r="B488" s="59">
        <v>45778</v>
      </c>
      <c r="C488" s="60">
        <v>171159</v>
      </c>
      <c r="D488" s="60">
        <v>169427</v>
      </c>
      <c r="E488" s="60" t="str">
        <f>tbl_performance[[#This Row],[employee_id]]&amp;"-"&amp;TEXT(tbl_performance[[#This Row],[month]],"mm")</f>
        <v>EMP1045-05</v>
      </c>
      <c r="F488" s="60">
        <f>COUNTIF(tbl_performance[employee_month_key],tbl_performance[[#This Row],[employee_month_key]])</f>
        <v>1</v>
      </c>
      <c r="G488" s="61">
        <f>tbl_performance[[#This Row],[achieved]]/tbl_performance[[#This Row],[target]]</f>
        <v>0.9898807541525716</v>
      </c>
      <c r="H488" s="60" t="str" cm="1">
        <f t="array" ref="H4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89" spans="1:8" ht="19.8" x14ac:dyDescent="0.65">
      <c r="A489" s="58" t="s">
        <v>124</v>
      </c>
      <c r="B489" s="59">
        <v>45809</v>
      </c>
      <c r="C489" s="60">
        <v>167736</v>
      </c>
      <c r="D489" s="60">
        <v>137903</v>
      </c>
      <c r="E489" s="60" t="str">
        <f>tbl_performance[[#This Row],[employee_id]]&amp;"-"&amp;TEXT(tbl_performance[[#This Row],[month]],"mm")</f>
        <v>EMP1045-06</v>
      </c>
      <c r="F489" s="60">
        <f>COUNTIF(tbl_performance[employee_month_key],tbl_performance[[#This Row],[employee_month_key]])</f>
        <v>1</v>
      </c>
      <c r="G489" s="61">
        <f>tbl_performance[[#This Row],[achieved]]/tbl_performance[[#This Row],[target]]</f>
        <v>0.82214312967997327</v>
      </c>
      <c r="H489" s="60" t="str" cm="1">
        <f t="array" ref="H489">_xlfn.IFS(tbl_performance[[#This Row],[performance_pct]]&gt;=1.1,"Excellent",tbl_performance[[#This Row],[performance_pct]]&gt;=1,"Good",tbl_performance[[#This Row],[performance_pct]]&gt;=0.85,"Average",TRUE,"Poor")</f>
        <v>Poor</v>
      </c>
    </row>
    <row r="490" spans="1:8" ht="19.8" x14ac:dyDescent="0.65">
      <c r="A490" s="58" t="s">
        <v>124</v>
      </c>
      <c r="B490" s="59">
        <v>45839</v>
      </c>
      <c r="C490" s="60">
        <v>171159</v>
      </c>
      <c r="D490" s="60">
        <v>136284</v>
      </c>
      <c r="E490" s="60" t="str">
        <f>tbl_performance[[#This Row],[employee_id]]&amp;"-"&amp;TEXT(tbl_performance[[#This Row],[month]],"mm")</f>
        <v>EMP1045-07</v>
      </c>
      <c r="F490" s="60">
        <f>COUNTIF(tbl_performance[employee_month_key],tbl_performance[[#This Row],[employee_month_key]])</f>
        <v>1</v>
      </c>
      <c r="G490" s="61">
        <f>tbl_performance[[#This Row],[achieved]]/tbl_performance[[#This Row],[target]]</f>
        <v>0.79624209068760621</v>
      </c>
      <c r="H490" s="60" t="str" cm="1">
        <f t="array" ref="H490">_xlfn.IFS(tbl_performance[[#This Row],[performance_pct]]&gt;=1.1,"Excellent",tbl_performance[[#This Row],[performance_pct]]&gt;=1,"Good",tbl_performance[[#This Row],[performance_pct]]&gt;=0.85,"Average",TRUE,"Poor")</f>
        <v>Poor</v>
      </c>
    </row>
    <row r="491" spans="1:8" ht="19.8" x14ac:dyDescent="0.65">
      <c r="A491" s="58" t="s">
        <v>124</v>
      </c>
      <c r="B491" s="59">
        <v>45870</v>
      </c>
      <c r="C491" s="60">
        <v>166024</v>
      </c>
      <c r="D491" s="60">
        <v>122648</v>
      </c>
      <c r="E491" s="60" t="str">
        <f>tbl_performance[[#This Row],[employee_id]]&amp;"-"&amp;TEXT(tbl_performance[[#This Row],[month]],"mm")</f>
        <v>EMP1045-08</v>
      </c>
      <c r="F491" s="60">
        <f>COUNTIF(tbl_performance[employee_month_key],tbl_performance[[#This Row],[employee_month_key]])</f>
        <v>1</v>
      </c>
      <c r="G491" s="61">
        <f>tbl_performance[[#This Row],[achieved]]/tbl_performance[[#This Row],[target]]</f>
        <v>0.73873656820700617</v>
      </c>
      <c r="H491" s="60" t="str" cm="1">
        <f t="array" ref="H491">_xlfn.IFS(tbl_performance[[#This Row],[performance_pct]]&gt;=1.1,"Excellent",tbl_performance[[#This Row],[performance_pct]]&gt;=1,"Good",tbl_performance[[#This Row],[performance_pct]]&gt;=0.85,"Average",TRUE,"Poor")</f>
        <v>Poor</v>
      </c>
    </row>
    <row r="492" spans="1:8" ht="19.8" x14ac:dyDescent="0.65">
      <c r="A492" s="58" t="s">
        <v>124</v>
      </c>
      <c r="B492" s="59">
        <v>45901</v>
      </c>
      <c r="C492" s="60">
        <v>171159</v>
      </c>
      <c r="D492" s="60">
        <v>115615</v>
      </c>
      <c r="E492" s="60" t="str">
        <f>tbl_performance[[#This Row],[employee_id]]&amp;"-"&amp;TEXT(tbl_performance[[#This Row],[month]],"mm")</f>
        <v>EMP1045-09</v>
      </c>
      <c r="F492" s="60">
        <f>COUNTIF(tbl_performance[employee_month_key],tbl_performance[[#This Row],[employee_month_key]])</f>
        <v>1</v>
      </c>
      <c r="G492" s="61">
        <f>tbl_performance[[#This Row],[achieved]]/tbl_performance[[#This Row],[target]]</f>
        <v>0.67548303039863522</v>
      </c>
      <c r="H492" s="60" t="str" cm="1">
        <f t="array" ref="H492">_xlfn.IFS(tbl_performance[[#This Row],[performance_pct]]&gt;=1.1,"Excellent",tbl_performance[[#This Row],[performance_pct]]&gt;=1,"Good",tbl_performance[[#This Row],[performance_pct]]&gt;=0.85,"Average",TRUE,"Poor")</f>
        <v>Poor</v>
      </c>
    </row>
    <row r="493" spans="1:8" ht="19.8" x14ac:dyDescent="0.65">
      <c r="A493" s="58" t="s">
        <v>124</v>
      </c>
      <c r="B493" s="59">
        <v>45931</v>
      </c>
      <c r="C493" s="60">
        <v>174582</v>
      </c>
      <c r="D493" s="60">
        <v>161361</v>
      </c>
      <c r="E493" s="60" t="str">
        <f>tbl_performance[[#This Row],[employee_id]]&amp;"-"&amp;TEXT(tbl_performance[[#This Row],[month]],"mm")</f>
        <v>EMP1045-10</v>
      </c>
      <c r="F493" s="60">
        <f>COUNTIF(tbl_performance[employee_month_key],tbl_performance[[#This Row],[employee_month_key]])</f>
        <v>1</v>
      </c>
      <c r="G493" s="61">
        <f>tbl_performance[[#This Row],[achieved]]/tbl_performance[[#This Row],[target]]</f>
        <v>0.92427054335498504</v>
      </c>
      <c r="H493" s="60" t="str" cm="1">
        <f t="array" ref="H49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4" spans="1:8" ht="19.8" x14ac:dyDescent="0.65">
      <c r="A494" s="58" t="s">
        <v>124</v>
      </c>
      <c r="B494" s="59">
        <v>45962</v>
      </c>
      <c r="C494" s="60">
        <v>171159</v>
      </c>
      <c r="D494" s="60">
        <v>162653</v>
      </c>
      <c r="E494" s="60" t="str">
        <f>tbl_performance[[#This Row],[employee_id]]&amp;"-"&amp;TEXT(tbl_performance[[#This Row],[month]],"mm")</f>
        <v>EMP1045-11</v>
      </c>
      <c r="F494" s="60">
        <f>COUNTIF(tbl_performance[employee_month_key],tbl_performance[[#This Row],[employee_month_key]])</f>
        <v>1</v>
      </c>
      <c r="G494" s="61">
        <f>tbl_performance[[#This Row],[achieved]]/tbl_performance[[#This Row],[target]]</f>
        <v>0.95030351895021592</v>
      </c>
      <c r="H494" s="60" t="str" cm="1">
        <f t="array" ref="H49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5" spans="1:8" ht="19.8" x14ac:dyDescent="0.65">
      <c r="A495" s="58" t="s">
        <v>124</v>
      </c>
      <c r="B495" s="59">
        <v>45992</v>
      </c>
      <c r="C495" s="60">
        <v>145485</v>
      </c>
      <c r="D495" s="60">
        <v>124384</v>
      </c>
      <c r="E495" s="60" t="str">
        <f>tbl_performance[[#This Row],[employee_id]]&amp;"-"&amp;TEXT(tbl_performance[[#This Row],[month]],"mm")</f>
        <v>EMP1045-12</v>
      </c>
      <c r="F495" s="60">
        <f>COUNTIF(tbl_performance[employee_month_key],tbl_performance[[#This Row],[employee_month_key]])</f>
        <v>1</v>
      </c>
      <c r="G495" s="61">
        <f>tbl_performance[[#This Row],[achieved]]/tbl_performance[[#This Row],[target]]</f>
        <v>0.85496099254218649</v>
      </c>
      <c r="H495" s="60" t="str" cm="1">
        <f t="array" ref="H49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6" spans="1:8" ht="19.8" x14ac:dyDescent="0.65">
      <c r="A496" s="58" t="s">
        <v>126</v>
      </c>
      <c r="B496" s="59">
        <v>45658</v>
      </c>
      <c r="C496" s="60">
        <v>31</v>
      </c>
      <c r="D496" s="60">
        <v>30</v>
      </c>
      <c r="E496" s="60" t="str">
        <f>tbl_performance[[#This Row],[employee_id]]&amp;"-"&amp;TEXT(tbl_performance[[#This Row],[month]],"mm")</f>
        <v>EMP1046-01</v>
      </c>
      <c r="F496" s="60">
        <f>COUNTIF(tbl_performance[employee_month_key],tbl_performance[[#This Row],[employee_month_key]])</f>
        <v>1</v>
      </c>
      <c r="G496" s="61">
        <f>tbl_performance[[#This Row],[achieved]]/tbl_performance[[#This Row],[target]]</f>
        <v>0.967741935483871</v>
      </c>
      <c r="H496" s="60" t="str" cm="1">
        <f t="array" ref="H49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7" spans="1:8" ht="19.8" x14ac:dyDescent="0.65">
      <c r="A497" s="58" t="s">
        <v>126</v>
      </c>
      <c r="B497" s="59">
        <v>45689</v>
      </c>
      <c r="C497" s="60">
        <v>28</v>
      </c>
      <c r="D497" s="60">
        <v>29</v>
      </c>
      <c r="E497" s="60" t="str">
        <f>tbl_performance[[#This Row],[employee_id]]&amp;"-"&amp;TEXT(tbl_performance[[#This Row],[month]],"mm")</f>
        <v>EMP1046-02</v>
      </c>
      <c r="F497" s="60">
        <f>COUNTIF(tbl_performance[employee_month_key],tbl_performance[[#This Row],[employee_month_key]])</f>
        <v>1</v>
      </c>
      <c r="G497" s="61">
        <f>tbl_performance[[#This Row],[achieved]]/tbl_performance[[#This Row],[target]]</f>
        <v>1.0357142857142858</v>
      </c>
      <c r="H497" s="60" t="str" cm="1">
        <f t="array" ref="H497">_xlfn.IFS(tbl_performance[[#This Row],[performance_pct]]&gt;=1.1,"Excellent",tbl_performance[[#This Row],[performance_pct]]&gt;=1,"Good",tbl_performance[[#This Row],[performance_pct]]&gt;=0.85,"Average",TRUE,"Poor")</f>
        <v>Good</v>
      </c>
    </row>
    <row r="498" spans="1:8" ht="19.8" x14ac:dyDescent="0.65">
      <c r="A498" s="58" t="s">
        <v>126</v>
      </c>
      <c r="B498" s="59">
        <v>45717</v>
      </c>
      <c r="C498" s="60">
        <v>31</v>
      </c>
      <c r="D498" s="60">
        <v>29</v>
      </c>
      <c r="E498" s="60" t="str">
        <f>tbl_performance[[#This Row],[employee_id]]&amp;"-"&amp;TEXT(tbl_performance[[#This Row],[month]],"mm")</f>
        <v>EMP1046-03</v>
      </c>
      <c r="F498" s="60">
        <f>COUNTIF(tbl_performance[employee_month_key],tbl_performance[[#This Row],[employee_month_key]])</f>
        <v>1</v>
      </c>
      <c r="G498" s="61">
        <f>tbl_performance[[#This Row],[achieved]]/tbl_performance[[#This Row],[target]]</f>
        <v>0.93548387096774188</v>
      </c>
      <c r="H498" s="60" t="str" cm="1">
        <f t="array" ref="H49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499" spans="1:8" ht="19.8" x14ac:dyDescent="0.65">
      <c r="A499" s="58" t="s">
        <v>126</v>
      </c>
      <c r="B499" s="59">
        <v>45748</v>
      </c>
      <c r="C499" s="60">
        <v>31</v>
      </c>
      <c r="D499" s="60">
        <v>29</v>
      </c>
      <c r="E499" s="60" t="str">
        <f>tbl_performance[[#This Row],[employee_id]]&amp;"-"&amp;TEXT(tbl_performance[[#This Row],[month]],"mm")</f>
        <v>EMP1046-04</v>
      </c>
      <c r="F499" s="60">
        <f>COUNTIF(tbl_performance[employee_month_key],tbl_performance[[#This Row],[employee_month_key]])</f>
        <v>1</v>
      </c>
      <c r="G499" s="61">
        <f>tbl_performance[[#This Row],[achieved]]/tbl_performance[[#This Row],[target]]</f>
        <v>0.93548387096774188</v>
      </c>
      <c r="H499" s="60" t="str" cm="1">
        <f t="array" ref="H49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0" spans="1:8" ht="19.8" x14ac:dyDescent="0.65">
      <c r="A500" s="58" t="s">
        <v>126</v>
      </c>
      <c r="B500" s="59">
        <v>45778</v>
      </c>
      <c r="C500" s="60">
        <v>31</v>
      </c>
      <c r="D500" s="60">
        <v>30</v>
      </c>
      <c r="E500" s="60" t="str">
        <f>tbl_performance[[#This Row],[employee_id]]&amp;"-"&amp;TEXT(tbl_performance[[#This Row],[month]],"mm")</f>
        <v>EMP1046-05</v>
      </c>
      <c r="F500" s="60">
        <f>COUNTIF(tbl_performance[employee_month_key],tbl_performance[[#This Row],[employee_month_key]])</f>
        <v>1</v>
      </c>
      <c r="G500" s="61">
        <f>tbl_performance[[#This Row],[achieved]]/tbl_performance[[#This Row],[target]]</f>
        <v>0.967741935483871</v>
      </c>
      <c r="H500" s="60" t="str" cm="1">
        <f t="array" ref="H50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1" spans="1:8" ht="19.8" x14ac:dyDescent="0.65">
      <c r="A501" s="58" t="s">
        <v>126</v>
      </c>
      <c r="B501" s="59">
        <v>45809</v>
      </c>
      <c r="C501" s="60">
        <v>30</v>
      </c>
      <c r="D501" s="60">
        <v>28</v>
      </c>
      <c r="E501" s="60" t="str">
        <f>tbl_performance[[#This Row],[employee_id]]&amp;"-"&amp;TEXT(tbl_performance[[#This Row],[month]],"mm")</f>
        <v>EMP1046-06</v>
      </c>
      <c r="F501" s="60">
        <f>COUNTIF(tbl_performance[employee_month_key],tbl_performance[[#This Row],[employee_month_key]])</f>
        <v>1</v>
      </c>
      <c r="G501" s="61">
        <f>tbl_performance[[#This Row],[achieved]]/tbl_performance[[#This Row],[target]]</f>
        <v>0.93333333333333335</v>
      </c>
      <c r="H501" s="60" t="str" cm="1">
        <f t="array" ref="H50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2" spans="1:8" ht="19.8" x14ac:dyDescent="0.65">
      <c r="A502" s="58" t="s">
        <v>126</v>
      </c>
      <c r="B502" s="59">
        <v>45839</v>
      </c>
      <c r="C502" s="60">
        <v>31</v>
      </c>
      <c r="D502" s="60">
        <v>28</v>
      </c>
      <c r="E502" s="60" t="str">
        <f>tbl_performance[[#This Row],[employee_id]]&amp;"-"&amp;TEXT(tbl_performance[[#This Row],[month]],"mm")</f>
        <v>EMP1046-07</v>
      </c>
      <c r="F502" s="60">
        <f>COUNTIF(tbl_performance[employee_month_key],tbl_performance[[#This Row],[employee_month_key]])</f>
        <v>1</v>
      </c>
      <c r="G502" s="61">
        <f>tbl_performance[[#This Row],[achieved]]/tbl_performance[[#This Row],[target]]</f>
        <v>0.90322580645161288</v>
      </c>
      <c r="H502" s="60" t="str" cm="1">
        <f t="array" ref="H50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3" spans="1:8" ht="19.8" x14ac:dyDescent="0.65">
      <c r="A503" s="58" t="s">
        <v>126</v>
      </c>
      <c r="B503" s="59">
        <v>45870</v>
      </c>
      <c r="C503" s="60">
        <v>30</v>
      </c>
      <c r="D503" s="60">
        <v>29</v>
      </c>
      <c r="E503" s="60" t="str">
        <f>tbl_performance[[#This Row],[employee_id]]&amp;"-"&amp;TEXT(tbl_performance[[#This Row],[month]],"mm")</f>
        <v>EMP1046-08</v>
      </c>
      <c r="F503" s="60">
        <f>COUNTIF(tbl_performance[employee_month_key],tbl_performance[[#This Row],[employee_month_key]])</f>
        <v>1</v>
      </c>
      <c r="G503" s="61">
        <f>tbl_performance[[#This Row],[achieved]]/tbl_performance[[#This Row],[target]]</f>
        <v>0.96666666666666667</v>
      </c>
      <c r="H503" s="60" t="str" cm="1">
        <f t="array" ref="H50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4" spans="1:8" ht="19.8" x14ac:dyDescent="0.65">
      <c r="A504" s="58" t="s">
        <v>126</v>
      </c>
      <c r="B504" s="59">
        <v>45901</v>
      </c>
      <c r="C504" s="60">
        <v>31</v>
      </c>
      <c r="D504" s="60">
        <v>29</v>
      </c>
      <c r="E504" s="60" t="str">
        <f>tbl_performance[[#This Row],[employee_id]]&amp;"-"&amp;TEXT(tbl_performance[[#This Row],[month]],"mm")</f>
        <v>EMP1046-09</v>
      </c>
      <c r="F504" s="60">
        <f>COUNTIF(tbl_performance[employee_month_key],tbl_performance[[#This Row],[employee_month_key]])</f>
        <v>1</v>
      </c>
      <c r="G504" s="61">
        <f>tbl_performance[[#This Row],[achieved]]/tbl_performance[[#This Row],[target]]</f>
        <v>0.93548387096774188</v>
      </c>
      <c r="H504" s="60" t="str" cm="1">
        <f t="array" ref="H5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5" spans="1:8" ht="19.8" x14ac:dyDescent="0.65">
      <c r="A505" s="58" t="s">
        <v>126</v>
      </c>
      <c r="B505" s="59">
        <v>45931</v>
      </c>
      <c r="C505" s="60">
        <v>31</v>
      </c>
      <c r="D505" s="60">
        <v>31</v>
      </c>
      <c r="E505" s="60" t="str">
        <f>tbl_performance[[#This Row],[employee_id]]&amp;"-"&amp;TEXT(tbl_performance[[#This Row],[month]],"mm")</f>
        <v>EMP1046-10</v>
      </c>
      <c r="F505" s="60">
        <f>COUNTIF(tbl_performance[employee_month_key],tbl_performance[[#This Row],[employee_month_key]])</f>
        <v>1</v>
      </c>
      <c r="G505" s="61">
        <f>tbl_performance[[#This Row],[achieved]]/tbl_performance[[#This Row],[target]]</f>
        <v>1</v>
      </c>
      <c r="H505" s="60" t="str" cm="1">
        <f t="array" ref="H505">_xlfn.IFS(tbl_performance[[#This Row],[performance_pct]]&gt;=1.1,"Excellent",tbl_performance[[#This Row],[performance_pct]]&gt;=1,"Good",tbl_performance[[#This Row],[performance_pct]]&gt;=0.85,"Average",TRUE,"Poor")</f>
        <v>Good</v>
      </c>
    </row>
    <row r="506" spans="1:8" ht="19.8" x14ac:dyDescent="0.65">
      <c r="A506" s="58" t="s">
        <v>126</v>
      </c>
      <c r="B506" s="59">
        <v>45962</v>
      </c>
      <c r="C506" s="60">
        <v>31</v>
      </c>
      <c r="D506" s="60">
        <v>32</v>
      </c>
      <c r="E506" s="60" t="str">
        <f>tbl_performance[[#This Row],[employee_id]]&amp;"-"&amp;TEXT(tbl_performance[[#This Row],[month]],"mm")</f>
        <v>EMP1046-11</v>
      </c>
      <c r="F506" s="60">
        <f>COUNTIF(tbl_performance[employee_month_key],tbl_performance[[#This Row],[employee_month_key]])</f>
        <v>1</v>
      </c>
      <c r="G506" s="61">
        <f>tbl_performance[[#This Row],[achieved]]/tbl_performance[[#This Row],[target]]</f>
        <v>1.032258064516129</v>
      </c>
      <c r="H506" s="60" t="str" cm="1">
        <f t="array" ref="H506">_xlfn.IFS(tbl_performance[[#This Row],[performance_pct]]&gt;=1.1,"Excellent",tbl_performance[[#This Row],[performance_pct]]&gt;=1,"Good",tbl_performance[[#This Row],[performance_pct]]&gt;=0.85,"Average",TRUE,"Poor")</f>
        <v>Good</v>
      </c>
    </row>
    <row r="507" spans="1:8" ht="19.8" x14ac:dyDescent="0.65">
      <c r="A507" s="58" t="s">
        <v>126</v>
      </c>
      <c r="B507" s="59">
        <v>45992</v>
      </c>
      <c r="C507" s="60">
        <v>26</v>
      </c>
      <c r="D507" s="60">
        <v>25</v>
      </c>
      <c r="E507" s="60" t="str">
        <f>tbl_performance[[#This Row],[employee_id]]&amp;"-"&amp;TEXT(tbl_performance[[#This Row],[month]],"mm")</f>
        <v>EMP1046-12</v>
      </c>
      <c r="F507" s="60">
        <f>COUNTIF(tbl_performance[employee_month_key],tbl_performance[[#This Row],[employee_month_key]])</f>
        <v>1</v>
      </c>
      <c r="G507" s="61">
        <f>tbl_performance[[#This Row],[achieved]]/tbl_performance[[#This Row],[target]]</f>
        <v>0.96153846153846156</v>
      </c>
      <c r="H507" s="60" t="str" cm="1">
        <f t="array" ref="H5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08" spans="1:8" ht="19.8" x14ac:dyDescent="0.65">
      <c r="A508" s="58" t="s">
        <v>128</v>
      </c>
      <c r="B508" s="59">
        <v>45658</v>
      </c>
      <c r="C508" s="60">
        <v>27</v>
      </c>
      <c r="D508" s="60">
        <v>27</v>
      </c>
      <c r="E508" s="60" t="str">
        <f>tbl_performance[[#This Row],[employee_id]]&amp;"-"&amp;TEXT(tbl_performance[[#This Row],[month]],"mm")</f>
        <v>EMP1047-01</v>
      </c>
      <c r="F508" s="60">
        <f>COUNTIF(tbl_performance[employee_month_key],tbl_performance[[#This Row],[employee_month_key]])</f>
        <v>1</v>
      </c>
      <c r="G508" s="61">
        <f>tbl_performance[[#This Row],[achieved]]/tbl_performance[[#This Row],[target]]</f>
        <v>1</v>
      </c>
      <c r="H508" s="60" t="str" cm="1">
        <f t="array" ref="H508">_xlfn.IFS(tbl_performance[[#This Row],[performance_pct]]&gt;=1.1,"Excellent",tbl_performance[[#This Row],[performance_pct]]&gt;=1,"Good",tbl_performance[[#This Row],[performance_pct]]&gt;=0.85,"Average",TRUE,"Poor")</f>
        <v>Good</v>
      </c>
    </row>
    <row r="509" spans="1:8" ht="19.8" x14ac:dyDescent="0.65">
      <c r="A509" s="58" t="s">
        <v>128</v>
      </c>
      <c r="B509" s="59">
        <v>45689</v>
      </c>
      <c r="C509" s="60">
        <v>25</v>
      </c>
      <c r="D509" s="60">
        <v>28</v>
      </c>
      <c r="E509" s="60" t="str">
        <f>tbl_performance[[#This Row],[employee_id]]&amp;"-"&amp;TEXT(tbl_performance[[#This Row],[month]],"mm")</f>
        <v>EMP1047-02</v>
      </c>
      <c r="F509" s="60">
        <f>COUNTIF(tbl_performance[employee_month_key],tbl_performance[[#This Row],[employee_month_key]])</f>
        <v>1</v>
      </c>
      <c r="G509" s="61">
        <f>tbl_performance[[#This Row],[achieved]]/tbl_performance[[#This Row],[target]]</f>
        <v>1.1200000000000001</v>
      </c>
      <c r="H509" s="60" t="str" cm="1">
        <f t="array" ref="H50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10" spans="1:8" ht="19.8" x14ac:dyDescent="0.65">
      <c r="A510" s="58" t="s">
        <v>128</v>
      </c>
      <c r="B510" s="59">
        <v>45717</v>
      </c>
      <c r="C510" s="60">
        <v>27</v>
      </c>
      <c r="D510" s="60">
        <v>28</v>
      </c>
      <c r="E510" s="60" t="str">
        <f>tbl_performance[[#This Row],[employee_id]]&amp;"-"&amp;TEXT(tbl_performance[[#This Row],[month]],"mm")</f>
        <v>EMP1047-03</v>
      </c>
      <c r="F510" s="60">
        <f>COUNTIF(tbl_performance[employee_month_key],tbl_performance[[#This Row],[employee_month_key]])</f>
        <v>1</v>
      </c>
      <c r="G510" s="61">
        <f>tbl_performance[[#This Row],[achieved]]/tbl_performance[[#This Row],[target]]</f>
        <v>1.037037037037037</v>
      </c>
      <c r="H510" s="60" t="str" cm="1">
        <f t="array" ref="H510">_xlfn.IFS(tbl_performance[[#This Row],[performance_pct]]&gt;=1.1,"Excellent",tbl_performance[[#This Row],[performance_pct]]&gt;=1,"Good",tbl_performance[[#This Row],[performance_pct]]&gt;=0.85,"Average",TRUE,"Poor")</f>
        <v>Good</v>
      </c>
    </row>
    <row r="511" spans="1:8" ht="19.8" x14ac:dyDescent="0.65">
      <c r="A511" s="58" t="s">
        <v>128</v>
      </c>
      <c r="B511" s="59">
        <v>45748</v>
      </c>
      <c r="C511" s="60">
        <v>27</v>
      </c>
      <c r="D511" s="60">
        <v>28</v>
      </c>
      <c r="E511" s="60" t="str">
        <f>tbl_performance[[#This Row],[employee_id]]&amp;"-"&amp;TEXT(tbl_performance[[#This Row],[month]],"mm")</f>
        <v>EMP1047-04</v>
      </c>
      <c r="F511" s="60">
        <f>COUNTIF(tbl_performance[employee_month_key],tbl_performance[[#This Row],[employee_month_key]])</f>
        <v>1</v>
      </c>
      <c r="G511" s="61">
        <f>tbl_performance[[#This Row],[achieved]]/tbl_performance[[#This Row],[target]]</f>
        <v>1.037037037037037</v>
      </c>
      <c r="H511" s="60" t="str" cm="1">
        <f t="array" ref="H511">_xlfn.IFS(tbl_performance[[#This Row],[performance_pct]]&gt;=1.1,"Excellent",tbl_performance[[#This Row],[performance_pct]]&gt;=1,"Good",tbl_performance[[#This Row],[performance_pct]]&gt;=0.85,"Average",TRUE,"Poor")</f>
        <v>Good</v>
      </c>
    </row>
    <row r="512" spans="1:8" ht="19.8" x14ac:dyDescent="0.65">
      <c r="A512" s="58" t="s">
        <v>128</v>
      </c>
      <c r="B512" s="59">
        <v>45778</v>
      </c>
      <c r="C512" s="60">
        <v>27</v>
      </c>
      <c r="D512" s="60">
        <v>28</v>
      </c>
      <c r="E512" s="60" t="str">
        <f>tbl_performance[[#This Row],[employee_id]]&amp;"-"&amp;TEXT(tbl_performance[[#This Row],[month]],"mm")</f>
        <v>EMP1047-05</v>
      </c>
      <c r="F512" s="60">
        <f>COUNTIF(tbl_performance[employee_month_key],tbl_performance[[#This Row],[employee_month_key]])</f>
        <v>1</v>
      </c>
      <c r="G512" s="61">
        <f>tbl_performance[[#This Row],[achieved]]/tbl_performance[[#This Row],[target]]</f>
        <v>1.037037037037037</v>
      </c>
      <c r="H512" s="60" t="str" cm="1">
        <f t="array" ref="H512">_xlfn.IFS(tbl_performance[[#This Row],[performance_pct]]&gt;=1.1,"Excellent",tbl_performance[[#This Row],[performance_pct]]&gt;=1,"Good",tbl_performance[[#This Row],[performance_pct]]&gt;=0.85,"Average",TRUE,"Poor")</f>
        <v>Good</v>
      </c>
    </row>
    <row r="513" spans="1:8" ht="19.8" x14ac:dyDescent="0.65">
      <c r="A513" s="58" t="s">
        <v>128</v>
      </c>
      <c r="B513" s="59">
        <v>45809</v>
      </c>
      <c r="C513" s="60">
        <v>26</v>
      </c>
      <c r="D513" s="60">
        <v>27</v>
      </c>
      <c r="E513" s="60" t="str">
        <f>tbl_performance[[#This Row],[employee_id]]&amp;"-"&amp;TEXT(tbl_performance[[#This Row],[month]],"mm")</f>
        <v>EMP1047-06</v>
      </c>
      <c r="F513" s="60">
        <f>COUNTIF(tbl_performance[employee_month_key],tbl_performance[[#This Row],[employee_month_key]])</f>
        <v>1</v>
      </c>
      <c r="G513" s="61">
        <f>tbl_performance[[#This Row],[achieved]]/tbl_performance[[#This Row],[target]]</f>
        <v>1.0384615384615385</v>
      </c>
      <c r="H513" s="60" t="str" cm="1">
        <f t="array" ref="H513">_xlfn.IFS(tbl_performance[[#This Row],[performance_pct]]&gt;=1.1,"Excellent",tbl_performance[[#This Row],[performance_pct]]&gt;=1,"Good",tbl_performance[[#This Row],[performance_pct]]&gt;=0.85,"Average",TRUE,"Poor")</f>
        <v>Good</v>
      </c>
    </row>
    <row r="514" spans="1:8" ht="19.8" x14ac:dyDescent="0.65">
      <c r="A514" s="58" t="s">
        <v>128</v>
      </c>
      <c r="B514" s="59">
        <v>45839</v>
      </c>
      <c r="C514" s="60">
        <v>27</v>
      </c>
      <c r="D514" s="60">
        <v>28</v>
      </c>
      <c r="E514" s="60" t="str">
        <f>tbl_performance[[#This Row],[employee_id]]&amp;"-"&amp;TEXT(tbl_performance[[#This Row],[month]],"mm")</f>
        <v>EMP1047-07</v>
      </c>
      <c r="F514" s="60">
        <f>COUNTIF(tbl_performance[employee_month_key],tbl_performance[[#This Row],[employee_month_key]])</f>
        <v>1</v>
      </c>
      <c r="G514" s="61">
        <f>tbl_performance[[#This Row],[achieved]]/tbl_performance[[#This Row],[target]]</f>
        <v>1.037037037037037</v>
      </c>
      <c r="H514" s="60" t="str" cm="1">
        <f t="array" ref="H514">_xlfn.IFS(tbl_performance[[#This Row],[performance_pct]]&gt;=1.1,"Excellent",tbl_performance[[#This Row],[performance_pct]]&gt;=1,"Good",tbl_performance[[#This Row],[performance_pct]]&gt;=0.85,"Average",TRUE,"Poor")</f>
        <v>Good</v>
      </c>
    </row>
    <row r="515" spans="1:8" ht="19.8" x14ac:dyDescent="0.65">
      <c r="A515" s="58" t="s">
        <v>128</v>
      </c>
      <c r="B515" s="59">
        <v>45870</v>
      </c>
      <c r="C515" s="60">
        <v>26</v>
      </c>
      <c r="D515" s="60">
        <v>26</v>
      </c>
      <c r="E515" s="60" t="str">
        <f>tbl_performance[[#This Row],[employee_id]]&amp;"-"&amp;TEXT(tbl_performance[[#This Row],[month]],"mm")</f>
        <v>EMP1047-08</v>
      </c>
      <c r="F515" s="60">
        <f>COUNTIF(tbl_performance[employee_month_key],tbl_performance[[#This Row],[employee_month_key]])</f>
        <v>1</v>
      </c>
      <c r="G515" s="61">
        <f>tbl_performance[[#This Row],[achieved]]/tbl_performance[[#This Row],[target]]</f>
        <v>1</v>
      </c>
      <c r="H515" s="60" t="str" cm="1">
        <f t="array" ref="H515">_xlfn.IFS(tbl_performance[[#This Row],[performance_pct]]&gt;=1.1,"Excellent",tbl_performance[[#This Row],[performance_pct]]&gt;=1,"Good",tbl_performance[[#This Row],[performance_pct]]&gt;=0.85,"Average",TRUE,"Poor")</f>
        <v>Good</v>
      </c>
    </row>
    <row r="516" spans="1:8" ht="19.8" x14ac:dyDescent="0.65">
      <c r="A516" s="58" t="s">
        <v>128</v>
      </c>
      <c r="B516" s="59">
        <v>45901</v>
      </c>
      <c r="C516" s="60">
        <v>27</v>
      </c>
      <c r="D516" s="60">
        <v>28</v>
      </c>
      <c r="E516" s="60" t="str">
        <f>tbl_performance[[#This Row],[employee_id]]&amp;"-"&amp;TEXT(tbl_performance[[#This Row],[month]],"mm")</f>
        <v>EMP1047-09</v>
      </c>
      <c r="F516" s="60">
        <f>COUNTIF(tbl_performance[employee_month_key],tbl_performance[[#This Row],[employee_month_key]])</f>
        <v>1</v>
      </c>
      <c r="G516" s="61">
        <f>tbl_performance[[#This Row],[achieved]]/tbl_performance[[#This Row],[target]]</f>
        <v>1.037037037037037</v>
      </c>
      <c r="H516" s="60" t="str" cm="1">
        <f t="array" ref="H516">_xlfn.IFS(tbl_performance[[#This Row],[performance_pct]]&gt;=1.1,"Excellent",tbl_performance[[#This Row],[performance_pct]]&gt;=1,"Good",tbl_performance[[#This Row],[performance_pct]]&gt;=0.85,"Average",TRUE,"Poor")</f>
        <v>Good</v>
      </c>
    </row>
    <row r="517" spans="1:8" ht="19.8" x14ac:dyDescent="0.65">
      <c r="A517" s="58" t="s">
        <v>128</v>
      </c>
      <c r="B517" s="59">
        <v>45931</v>
      </c>
      <c r="C517" s="60">
        <v>27</v>
      </c>
      <c r="D517" s="60">
        <v>28</v>
      </c>
      <c r="E517" s="60" t="str">
        <f>tbl_performance[[#This Row],[employee_id]]&amp;"-"&amp;TEXT(tbl_performance[[#This Row],[month]],"mm")</f>
        <v>EMP1047-10</v>
      </c>
      <c r="F517" s="60">
        <f>COUNTIF(tbl_performance[employee_month_key],tbl_performance[[#This Row],[employee_month_key]])</f>
        <v>1</v>
      </c>
      <c r="G517" s="61">
        <f>tbl_performance[[#This Row],[achieved]]/tbl_performance[[#This Row],[target]]</f>
        <v>1.037037037037037</v>
      </c>
      <c r="H517" s="60" t="str" cm="1">
        <f t="array" ref="H517">_xlfn.IFS(tbl_performance[[#This Row],[performance_pct]]&gt;=1.1,"Excellent",tbl_performance[[#This Row],[performance_pct]]&gt;=1,"Good",tbl_performance[[#This Row],[performance_pct]]&gt;=0.85,"Average",TRUE,"Poor")</f>
        <v>Good</v>
      </c>
    </row>
    <row r="518" spans="1:8" ht="19.8" x14ac:dyDescent="0.65">
      <c r="A518" s="58" t="s">
        <v>128</v>
      </c>
      <c r="B518" s="59">
        <v>45962</v>
      </c>
      <c r="C518" s="60">
        <v>27</v>
      </c>
      <c r="D518" s="60">
        <v>28</v>
      </c>
      <c r="E518" s="60" t="str">
        <f>tbl_performance[[#This Row],[employee_id]]&amp;"-"&amp;TEXT(tbl_performance[[#This Row],[month]],"mm")</f>
        <v>EMP1047-11</v>
      </c>
      <c r="F518" s="60">
        <f>COUNTIF(tbl_performance[employee_month_key],tbl_performance[[#This Row],[employee_month_key]])</f>
        <v>1</v>
      </c>
      <c r="G518" s="61">
        <f>tbl_performance[[#This Row],[achieved]]/tbl_performance[[#This Row],[target]]</f>
        <v>1.037037037037037</v>
      </c>
      <c r="H518" s="60" t="str" cm="1">
        <f t="array" ref="H518">_xlfn.IFS(tbl_performance[[#This Row],[performance_pct]]&gt;=1.1,"Excellent",tbl_performance[[#This Row],[performance_pct]]&gt;=1,"Good",tbl_performance[[#This Row],[performance_pct]]&gt;=0.85,"Average",TRUE,"Poor")</f>
        <v>Good</v>
      </c>
    </row>
    <row r="519" spans="1:8" ht="19.8" x14ac:dyDescent="0.65">
      <c r="A519" s="58" t="s">
        <v>128</v>
      </c>
      <c r="B519" s="59">
        <v>45992</v>
      </c>
      <c r="C519" s="60">
        <v>23</v>
      </c>
      <c r="D519" s="60">
        <v>22</v>
      </c>
      <c r="E519" s="60" t="str">
        <f>tbl_performance[[#This Row],[employee_id]]&amp;"-"&amp;TEXT(tbl_performance[[#This Row],[month]],"mm")</f>
        <v>EMP1047-12</v>
      </c>
      <c r="F519" s="60">
        <f>COUNTIF(tbl_performance[employee_month_key],tbl_performance[[#This Row],[employee_month_key]])</f>
        <v>1</v>
      </c>
      <c r="G519" s="61">
        <f>tbl_performance[[#This Row],[achieved]]/tbl_performance[[#This Row],[target]]</f>
        <v>0.95652173913043481</v>
      </c>
      <c r="H519" s="60" t="str" cm="1">
        <f t="array" ref="H5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20" spans="1:8" ht="19.8" x14ac:dyDescent="0.65">
      <c r="A520" s="58" t="s">
        <v>130</v>
      </c>
      <c r="B520" s="59">
        <v>45658</v>
      </c>
      <c r="C520" s="60">
        <v>41138</v>
      </c>
      <c r="D520" s="60">
        <v>34764</v>
      </c>
      <c r="E520" s="60" t="str">
        <f>tbl_performance[[#This Row],[employee_id]]&amp;"-"&amp;TEXT(tbl_performance[[#This Row],[month]],"mm")</f>
        <v>EMP1048-01</v>
      </c>
      <c r="F520" s="60">
        <f>COUNTIF(tbl_performance[employee_month_key],tbl_performance[[#This Row],[employee_month_key]])</f>
        <v>1</v>
      </c>
      <c r="G520" s="61">
        <f>tbl_performance[[#This Row],[achieved]]/tbl_performance[[#This Row],[target]]</f>
        <v>0.84505809713646751</v>
      </c>
      <c r="H520" s="60" t="str" cm="1">
        <f t="array" ref="H520">_xlfn.IFS(tbl_performance[[#This Row],[performance_pct]]&gt;=1.1,"Excellent",tbl_performance[[#This Row],[performance_pct]]&gt;=1,"Good",tbl_performance[[#This Row],[performance_pct]]&gt;=0.85,"Average",TRUE,"Poor")</f>
        <v>Poor</v>
      </c>
    </row>
    <row r="521" spans="1:8" ht="19.8" x14ac:dyDescent="0.65">
      <c r="A521" s="58" t="s">
        <v>130</v>
      </c>
      <c r="B521" s="59">
        <v>45689</v>
      </c>
      <c r="C521" s="60">
        <v>38258</v>
      </c>
      <c r="D521" s="60">
        <v>39864</v>
      </c>
      <c r="E521" s="60" t="str">
        <f>tbl_performance[[#This Row],[employee_id]]&amp;"-"&amp;TEXT(tbl_performance[[#This Row],[month]],"mm")</f>
        <v>EMP1048-02</v>
      </c>
      <c r="F521" s="60">
        <f>COUNTIF(tbl_performance[employee_month_key],tbl_performance[[#This Row],[employee_month_key]])</f>
        <v>1</v>
      </c>
      <c r="G521" s="61">
        <f>tbl_performance[[#This Row],[achieved]]/tbl_performance[[#This Row],[target]]</f>
        <v>1.041978148361127</v>
      </c>
      <c r="H521" s="60" t="str" cm="1">
        <f t="array" ref="H521">_xlfn.IFS(tbl_performance[[#This Row],[performance_pct]]&gt;=1.1,"Excellent",tbl_performance[[#This Row],[performance_pct]]&gt;=1,"Good",tbl_performance[[#This Row],[performance_pct]]&gt;=0.85,"Average",TRUE,"Poor")</f>
        <v>Good</v>
      </c>
    </row>
    <row r="522" spans="1:8" ht="19.8" x14ac:dyDescent="0.65">
      <c r="A522" s="58" t="s">
        <v>130</v>
      </c>
      <c r="B522" s="59">
        <v>45717</v>
      </c>
      <c r="C522" s="60">
        <v>41961</v>
      </c>
      <c r="D522" s="60">
        <v>27585</v>
      </c>
      <c r="E522" s="60" t="str">
        <f>tbl_performance[[#This Row],[employee_id]]&amp;"-"&amp;TEXT(tbl_performance[[#This Row],[month]],"mm")</f>
        <v>EMP1048-03</v>
      </c>
      <c r="F522" s="60">
        <f>COUNTIF(tbl_performance[employee_month_key],tbl_performance[[#This Row],[employee_month_key]])</f>
        <v>1</v>
      </c>
      <c r="G522" s="61">
        <f>tbl_performance[[#This Row],[achieved]]/tbl_performance[[#This Row],[target]]</f>
        <v>0.6573961535711732</v>
      </c>
      <c r="H522" s="60" t="str" cm="1">
        <f t="array" ref="H522">_xlfn.IFS(tbl_performance[[#This Row],[performance_pct]]&gt;=1.1,"Excellent",tbl_performance[[#This Row],[performance_pct]]&gt;=1,"Good",tbl_performance[[#This Row],[performance_pct]]&gt;=0.85,"Average",TRUE,"Poor")</f>
        <v>Poor</v>
      </c>
    </row>
    <row r="523" spans="1:8" ht="19.8" x14ac:dyDescent="0.65">
      <c r="A523" s="58" t="s">
        <v>130</v>
      </c>
      <c r="B523" s="59">
        <v>45748</v>
      </c>
      <c r="C523" s="60">
        <v>41138</v>
      </c>
      <c r="D523" s="60">
        <v>42482</v>
      </c>
      <c r="E523" s="60" t="str">
        <f>tbl_performance[[#This Row],[employee_id]]&amp;"-"&amp;TEXT(tbl_performance[[#This Row],[month]],"mm")</f>
        <v>EMP1048-04</v>
      </c>
      <c r="F523" s="60">
        <f>COUNTIF(tbl_performance[employee_month_key],tbl_performance[[#This Row],[employee_month_key]])</f>
        <v>1</v>
      </c>
      <c r="G523" s="61">
        <f>tbl_performance[[#This Row],[achieved]]/tbl_performance[[#This Row],[target]]</f>
        <v>1.032670523603481</v>
      </c>
      <c r="H523" s="60" t="str" cm="1">
        <f t="array" ref="H523">_xlfn.IFS(tbl_performance[[#This Row],[performance_pct]]&gt;=1.1,"Excellent",tbl_performance[[#This Row],[performance_pct]]&gt;=1,"Good",tbl_performance[[#This Row],[performance_pct]]&gt;=0.85,"Average",TRUE,"Poor")</f>
        <v>Good</v>
      </c>
    </row>
    <row r="524" spans="1:8" ht="19.8" x14ac:dyDescent="0.65">
      <c r="A524" s="58" t="s">
        <v>130</v>
      </c>
      <c r="B524" s="59">
        <v>45778</v>
      </c>
      <c r="C524" s="60">
        <v>41138</v>
      </c>
      <c r="D524" s="60">
        <v>43159</v>
      </c>
      <c r="E524" s="60" t="str">
        <f>tbl_performance[[#This Row],[employee_id]]&amp;"-"&amp;TEXT(tbl_performance[[#This Row],[month]],"mm")</f>
        <v>EMP1048-05</v>
      </c>
      <c r="F524" s="60">
        <f>COUNTIF(tbl_performance[employee_month_key],tbl_performance[[#This Row],[employee_month_key]])</f>
        <v>1</v>
      </c>
      <c r="G524" s="61">
        <f>tbl_performance[[#This Row],[achieved]]/tbl_performance[[#This Row],[target]]</f>
        <v>1.0491273275317226</v>
      </c>
      <c r="H524" s="60" t="str" cm="1">
        <f t="array" ref="H524">_xlfn.IFS(tbl_performance[[#This Row],[performance_pct]]&gt;=1.1,"Excellent",tbl_performance[[#This Row],[performance_pct]]&gt;=1,"Good",tbl_performance[[#This Row],[performance_pct]]&gt;=0.85,"Average",TRUE,"Poor")</f>
        <v>Good</v>
      </c>
    </row>
    <row r="525" spans="1:8" ht="19.8" x14ac:dyDescent="0.65">
      <c r="A525" s="58" t="s">
        <v>130</v>
      </c>
      <c r="B525" s="59">
        <v>45809</v>
      </c>
      <c r="C525" s="60">
        <v>40315</v>
      </c>
      <c r="D525" s="60">
        <v>28954</v>
      </c>
      <c r="E525" s="60" t="str">
        <f>tbl_performance[[#This Row],[employee_id]]&amp;"-"&amp;TEXT(tbl_performance[[#This Row],[month]],"mm")</f>
        <v>EMP1048-06</v>
      </c>
      <c r="F525" s="60">
        <f>COUNTIF(tbl_performance[employee_month_key],tbl_performance[[#This Row],[employee_month_key]])</f>
        <v>1</v>
      </c>
      <c r="G525" s="61">
        <f>tbl_performance[[#This Row],[achieved]]/tbl_performance[[#This Row],[target]]</f>
        <v>0.71819422051345649</v>
      </c>
      <c r="H525" s="60" t="str" cm="1">
        <f t="array" ref="H525">_xlfn.IFS(tbl_performance[[#This Row],[performance_pct]]&gt;=1.1,"Excellent",tbl_performance[[#This Row],[performance_pct]]&gt;=1,"Good",tbl_performance[[#This Row],[performance_pct]]&gt;=0.85,"Average",TRUE,"Poor")</f>
        <v>Poor</v>
      </c>
    </row>
    <row r="526" spans="1:8" ht="19.8" x14ac:dyDescent="0.65">
      <c r="A526" s="58" t="s">
        <v>130</v>
      </c>
      <c r="B526" s="59">
        <v>45839</v>
      </c>
      <c r="C526" s="60">
        <v>41138</v>
      </c>
      <c r="D526" s="60">
        <v>36705</v>
      </c>
      <c r="E526" s="60" t="str">
        <f>tbl_performance[[#This Row],[employee_id]]&amp;"-"&amp;TEXT(tbl_performance[[#This Row],[month]],"mm")</f>
        <v>EMP1048-07</v>
      </c>
      <c r="F526" s="60">
        <f>COUNTIF(tbl_performance[employee_month_key],tbl_performance[[#This Row],[employee_month_key]])</f>
        <v>1</v>
      </c>
      <c r="G526" s="61">
        <f>tbl_performance[[#This Row],[achieved]]/tbl_performance[[#This Row],[target]]</f>
        <v>0.8922407506441733</v>
      </c>
      <c r="H526" s="60" t="str" cm="1">
        <f t="array" ref="H5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27" spans="1:8" ht="19.8" x14ac:dyDescent="0.65">
      <c r="A527" s="58" t="s">
        <v>130</v>
      </c>
      <c r="B527" s="59">
        <v>45870</v>
      </c>
      <c r="C527" s="60">
        <v>39904</v>
      </c>
      <c r="D527" s="60">
        <v>35530</v>
      </c>
      <c r="E527" s="60" t="str">
        <f>tbl_performance[[#This Row],[employee_id]]&amp;"-"&amp;TEXT(tbl_performance[[#This Row],[month]],"mm")</f>
        <v>EMP1048-08</v>
      </c>
      <c r="F527" s="60">
        <f>COUNTIF(tbl_performance[employee_month_key],tbl_performance[[#This Row],[employee_month_key]])</f>
        <v>1</v>
      </c>
      <c r="G527" s="61">
        <f>tbl_performance[[#This Row],[achieved]]/tbl_performance[[#This Row],[target]]</f>
        <v>0.89038692862870894</v>
      </c>
      <c r="H527" s="60" t="str" cm="1">
        <f t="array" ref="H52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28" spans="1:8" ht="19.8" x14ac:dyDescent="0.65">
      <c r="A528" s="58" t="s">
        <v>130</v>
      </c>
      <c r="B528" s="59">
        <v>45901</v>
      </c>
      <c r="C528" s="60">
        <v>41138</v>
      </c>
      <c r="D528" s="60">
        <v>32409</v>
      </c>
      <c r="E528" s="60" t="str">
        <f>tbl_performance[[#This Row],[employee_id]]&amp;"-"&amp;TEXT(tbl_performance[[#This Row],[month]],"mm")</f>
        <v>EMP1048-09</v>
      </c>
      <c r="F528" s="60">
        <f>COUNTIF(tbl_performance[employee_month_key],tbl_performance[[#This Row],[employee_month_key]])</f>
        <v>1</v>
      </c>
      <c r="G528" s="61">
        <f>tbl_performance[[#This Row],[achieved]]/tbl_performance[[#This Row],[target]]</f>
        <v>0.78781175555447513</v>
      </c>
      <c r="H528" s="60" t="str" cm="1">
        <f t="array" ref="H528">_xlfn.IFS(tbl_performance[[#This Row],[performance_pct]]&gt;=1.1,"Excellent",tbl_performance[[#This Row],[performance_pct]]&gt;=1,"Good",tbl_performance[[#This Row],[performance_pct]]&gt;=0.85,"Average",TRUE,"Poor")</f>
        <v>Poor</v>
      </c>
    </row>
    <row r="529" spans="1:8" ht="19.8" x14ac:dyDescent="0.65">
      <c r="A529" s="58" t="s">
        <v>130</v>
      </c>
      <c r="B529" s="59">
        <v>45931</v>
      </c>
      <c r="C529" s="60">
        <v>41961</v>
      </c>
      <c r="D529" s="60">
        <v>35741</v>
      </c>
      <c r="E529" s="60" t="str">
        <f>tbl_performance[[#This Row],[employee_id]]&amp;"-"&amp;TEXT(tbl_performance[[#This Row],[month]],"mm")</f>
        <v>EMP1048-10</v>
      </c>
      <c r="F529" s="60">
        <f>COUNTIF(tbl_performance[employee_month_key],tbl_performance[[#This Row],[employee_month_key]])</f>
        <v>1</v>
      </c>
      <c r="G529" s="61">
        <f>tbl_performance[[#This Row],[achieved]]/tbl_performance[[#This Row],[target]]</f>
        <v>0.85176711708491215</v>
      </c>
      <c r="H529" s="60" t="str" cm="1">
        <f t="array" ref="H52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30" spans="1:8" ht="19.8" x14ac:dyDescent="0.65">
      <c r="A530" s="58" t="s">
        <v>130</v>
      </c>
      <c r="B530" s="59">
        <v>45962</v>
      </c>
      <c r="C530" s="60">
        <v>41138</v>
      </c>
      <c r="D530" s="60">
        <v>37826</v>
      </c>
      <c r="E530" s="60" t="str">
        <f>tbl_performance[[#This Row],[employee_id]]&amp;"-"&amp;TEXT(tbl_performance[[#This Row],[month]],"mm")</f>
        <v>EMP1048-11</v>
      </c>
      <c r="F530" s="60">
        <f>COUNTIF(tbl_performance[employee_month_key],tbl_performance[[#This Row],[employee_month_key]])</f>
        <v>1</v>
      </c>
      <c r="G530" s="61">
        <f>tbl_performance[[#This Row],[achieved]]/tbl_performance[[#This Row],[target]]</f>
        <v>0.9194904954057076</v>
      </c>
      <c r="H530" s="60" t="str" cm="1">
        <f t="array" ref="H53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31" spans="1:8" ht="19.8" x14ac:dyDescent="0.65">
      <c r="A531" s="58" t="s">
        <v>130</v>
      </c>
      <c r="B531" s="59">
        <v>45992</v>
      </c>
      <c r="C531" s="60">
        <v>34967</v>
      </c>
      <c r="D531" s="60">
        <v>43596</v>
      </c>
      <c r="E531" s="60" t="str">
        <f>tbl_performance[[#This Row],[employee_id]]&amp;"-"&amp;TEXT(tbl_performance[[#This Row],[month]],"mm")</f>
        <v>EMP1048-12</v>
      </c>
      <c r="F531" s="60">
        <f>COUNTIF(tbl_performance[employee_month_key],tbl_performance[[#This Row],[employee_month_key]])</f>
        <v>1</v>
      </c>
      <c r="G531" s="61">
        <f>tbl_performance[[#This Row],[achieved]]/tbl_performance[[#This Row],[target]]</f>
        <v>1.2467755312151456</v>
      </c>
      <c r="H531" s="60" t="str" cm="1">
        <f t="array" ref="H53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32" spans="1:8" ht="19.8" x14ac:dyDescent="0.65">
      <c r="A532" s="58" t="s">
        <v>132</v>
      </c>
      <c r="B532" s="59">
        <v>45658</v>
      </c>
      <c r="C532" s="60">
        <v>26</v>
      </c>
      <c r="D532" s="60">
        <v>29</v>
      </c>
      <c r="E532" s="60" t="str">
        <f>tbl_performance[[#This Row],[employee_id]]&amp;"-"&amp;TEXT(tbl_performance[[#This Row],[month]],"mm")</f>
        <v>EMP1049-01</v>
      </c>
      <c r="F532" s="60">
        <f>COUNTIF(tbl_performance[employee_month_key],tbl_performance[[#This Row],[employee_month_key]])</f>
        <v>1</v>
      </c>
      <c r="G532" s="61">
        <f>tbl_performance[[#This Row],[achieved]]/tbl_performance[[#This Row],[target]]</f>
        <v>1.1153846153846154</v>
      </c>
      <c r="H532" s="60" t="str" cm="1">
        <f t="array" ref="H53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33" spans="1:8" ht="19.8" x14ac:dyDescent="0.65">
      <c r="A533" s="58" t="s">
        <v>132</v>
      </c>
      <c r="B533" s="59">
        <v>45689</v>
      </c>
      <c r="C533" s="60">
        <v>24</v>
      </c>
      <c r="D533" s="60">
        <v>27</v>
      </c>
      <c r="E533" s="60" t="str">
        <f>tbl_performance[[#This Row],[employee_id]]&amp;"-"&amp;TEXT(tbl_performance[[#This Row],[month]],"mm")</f>
        <v>EMP1049-02</v>
      </c>
      <c r="F533" s="60">
        <f>COUNTIF(tbl_performance[employee_month_key],tbl_performance[[#This Row],[employee_month_key]])</f>
        <v>1</v>
      </c>
      <c r="G533" s="61">
        <f>tbl_performance[[#This Row],[achieved]]/tbl_performance[[#This Row],[target]]</f>
        <v>1.125</v>
      </c>
      <c r="H533" s="60" t="str" cm="1">
        <f t="array" ref="H53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34" spans="1:8" ht="19.8" x14ac:dyDescent="0.65">
      <c r="A534" s="58" t="s">
        <v>132</v>
      </c>
      <c r="B534" s="59">
        <v>45717</v>
      </c>
      <c r="C534" s="60">
        <v>26</v>
      </c>
      <c r="D534" s="60">
        <v>27</v>
      </c>
      <c r="E534" s="60" t="str">
        <f>tbl_performance[[#This Row],[employee_id]]&amp;"-"&amp;TEXT(tbl_performance[[#This Row],[month]],"mm")</f>
        <v>EMP1049-03</v>
      </c>
      <c r="F534" s="60">
        <f>COUNTIF(tbl_performance[employee_month_key],tbl_performance[[#This Row],[employee_month_key]])</f>
        <v>1</v>
      </c>
      <c r="G534" s="61">
        <f>tbl_performance[[#This Row],[achieved]]/tbl_performance[[#This Row],[target]]</f>
        <v>1.0384615384615385</v>
      </c>
      <c r="H534" s="60" t="str" cm="1">
        <f t="array" ref="H534">_xlfn.IFS(tbl_performance[[#This Row],[performance_pct]]&gt;=1.1,"Excellent",tbl_performance[[#This Row],[performance_pct]]&gt;=1,"Good",tbl_performance[[#This Row],[performance_pct]]&gt;=0.85,"Average",TRUE,"Poor")</f>
        <v>Good</v>
      </c>
    </row>
    <row r="535" spans="1:8" ht="19.8" x14ac:dyDescent="0.65">
      <c r="A535" s="58" t="s">
        <v>132</v>
      </c>
      <c r="B535" s="59">
        <v>45748</v>
      </c>
      <c r="C535" s="60">
        <v>26</v>
      </c>
      <c r="D535" s="60">
        <v>28</v>
      </c>
      <c r="E535" s="60" t="str">
        <f>tbl_performance[[#This Row],[employee_id]]&amp;"-"&amp;TEXT(tbl_performance[[#This Row],[month]],"mm")</f>
        <v>EMP1049-04</v>
      </c>
      <c r="F535" s="60">
        <f>COUNTIF(tbl_performance[employee_month_key],tbl_performance[[#This Row],[employee_month_key]])</f>
        <v>1</v>
      </c>
      <c r="G535" s="61">
        <f>tbl_performance[[#This Row],[achieved]]/tbl_performance[[#This Row],[target]]</f>
        <v>1.0769230769230769</v>
      </c>
      <c r="H535" s="60" t="str" cm="1">
        <f t="array" ref="H535">_xlfn.IFS(tbl_performance[[#This Row],[performance_pct]]&gt;=1.1,"Excellent",tbl_performance[[#This Row],[performance_pct]]&gt;=1,"Good",tbl_performance[[#This Row],[performance_pct]]&gt;=0.85,"Average",TRUE,"Poor")</f>
        <v>Good</v>
      </c>
    </row>
    <row r="536" spans="1:8" ht="19.8" x14ac:dyDescent="0.65">
      <c r="A536" s="58" t="s">
        <v>132</v>
      </c>
      <c r="B536" s="59">
        <v>45778</v>
      </c>
      <c r="C536" s="60">
        <v>26</v>
      </c>
      <c r="D536" s="60">
        <v>29</v>
      </c>
      <c r="E536" s="60" t="str">
        <f>tbl_performance[[#This Row],[employee_id]]&amp;"-"&amp;TEXT(tbl_performance[[#This Row],[month]],"mm")</f>
        <v>EMP1049-05</v>
      </c>
      <c r="F536" s="60">
        <f>COUNTIF(tbl_performance[employee_month_key],tbl_performance[[#This Row],[employee_month_key]])</f>
        <v>1</v>
      </c>
      <c r="G536" s="61">
        <f>tbl_performance[[#This Row],[achieved]]/tbl_performance[[#This Row],[target]]</f>
        <v>1.1153846153846154</v>
      </c>
      <c r="H536" s="60" t="str" cm="1">
        <f t="array" ref="H53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37" spans="1:8" ht="19.8" x14ac:dyDescent="0.65">
      <c r="A537" s="58" t="s">
        <v>132</v>
      </c>
      <c r="B537" s="59">
        <v>45809</v>
      </c>
      <c r="C537" s="60">
        <v>25</v>
      </c>
      <c r="D537" s="60">
        <v>26</v>
      </c>
      <c r="E537" s="60" t="str">
        <f>tbl_performance[[#This Row],[employee_id]]&amp;"-"&amp;TEXT(tbl_performance[[#This Row],[month]],"mm")</f>
        <v>EMP1049-06</v>
      </c>
      <c r="F537" s="60">
        <f>COUNTIF(tbl_performance[employee_month_key],tbl_performance[[#This Row],[employee_month_key]])</f>
        <v>1</v>
      </c>
      <c r="G537" s="61">
        <f>tbl_performance[[#This Row],[achieved]]/tbl_performance[[#This Row],[target]]</f>
        <v>1.04</v>
      </c>
      <c r="H537" s="60" t="str" cm="1">
        <f t="array" ref="H537">_xlfn.IFS(tbl_performance[[#This Row],[performance_pct]]&gt;=1.1,"Excellent",tbl_performance[[#This Row],[performance_pct]]&gt;=1,"Good",tbl_performance[[#This Row],[performance_pct]]&gt;=0.85,"Average",TRUE,"Poor")</f>
        <v>Good</v>
      </c>
    </row>
    <row r="538" spans="1:8" ht="19.8" x14ac:dyDescent="0.65">
      <c r="A538" s="58" t="s">
        <v>132</v>
      </c>
      <c r="B538" s="59">
        <v>45839</v>
      </c>
      <c r="C538" s="60">
        <v>26</v>
      </c>
      <c r="D538" s="60">
        <v>29</v>
      </c>
      <c r="E538" s="60" t="str">
        <f>tbl_performance[[#This Row],[employee_id]]&amp;"-"&amp;TEXT(tbl_performance[[#This Row],[month]],"mm")</f>
        <v>EMP1049-07</v>
      </c>
      <c r="F538" s="60">
        <f>COUNTIF(tbl_performance[employee_month_key],tbl_performance[[#This Row],[employee_month_key]])</f>
        <v>1</v>
      </c>
      <c r="G538" s="61">
        <f>tbl_performance[[#This Row],[achieved]]/tbl_performance[[#This Row],[target]]</f>
        <v>1.1153846153846154</v>
      </c>
      <c r="H538" s="60" t="str" cm="1">
        <f t="array" ref="H5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39" spans="1:8" ht="19.8" x14ac:dyDescent="0.65">
      <c r="A539" s="58" t="s">
        <v>132</v>
      </c>
      <c r="B539" s="59">
        <v>45870</v>
      </c>
      <c r="C539" s="60">
        <v>25</v>
      </c>
      <c r="D539" s="60">
        <v>26</v>
      </c>
      <c r="E539" s="60" t="str">
        <f>tbl_performance[[#This Row],[employee_id]]&amp;"-"&amp;TEXT(tbl_performance[[#This Row],[month]],"mm")</f>
        <v>EMP1049-08</v>
      </c>
      <c r="F539" s="60">
        <f>COUNTIF(tbl_performance[employee_month_key],tbl_performance[[#This Row],[employee_month_key]])</f>
        <v>1</v>
      </c>
      <c r="G539" s="61">
        <f>tbl_performance[[#This Row],[achieved]]/tbl_performance[[#This Row],[target]]</f>
        <v>1.04</v>
      </c>
      <c r="H539" s="60" t="str" cm="1">
        <f t="array" ref="H539">_xlfn.IFS(tbl_performance[[#This Row],[performance_pct]]&gt;=1.1,"Excellent",tbl_performance[[#This Row],[performance_pct]]&gt;=1,"Good",tbl_performance[[#This Row],[performance_pct]]&gt;=0.85,"Average",TRUE,"Poor")</f>
        <v>Good</v>
      </c>
    </row>
    <row r="540" spans="1:8" ht="19.8" x14ac:dyDescent="0.65">
      <c r="A540" s="58" t="s">
        <v>132</v>
      </c>
      <c r="B540" s="59">
        <v>45901</v>
      </c>
      <c r="C540" s="60">
        <v>26</v>
      </c>
      <c r="D540" s="60">
        <v>28</v>
      </c>
      <c r="E540" s="60" t="str">
        <f>tbl_performance[[#This Row],[employee_id]]&amp;"-"&amp;TEXT(tbl_performance[[#This Row],[month]],"mm")</f>
        <v>EMP1049-09</v>
      </c>
      <c r="F540" s="60">
        <f>COUNTIF(tbl_performance[employee_month_key],tbl_performance[[#This Row],[employee_month_key]])</f>
        <v>1</v>
      </c>
      <c r="G540" s="61">
        <f>tbl_performance[[#This Row],[achieved]]/tbl_performance[[#This Row],[target]]</f>
        <v>1.0769230769230769</v>
      </c>
      <c r="H540" s="60" t="str" cm="1">
        <f t="array" ref="H540">_xlfn.IFS(tbl_performance[[#This Row],[performance_pct]]&gt;=1.1,"Excellent",tbl_performance[[#This Row],[performance_pct]]&gt;=1,"Good",tbl_performance[[#This Row],[performance_pct]]&gt;=0.85,"Average",TRUE,"Poor")</f>
        <v>Good</v>
      </c>
    </row>
    <row r="541" spans="1:8" ht="19.8" x14ac:dyDescent="0.65">
      <c r="A541" s="58" t="s">
        <v>132</v>
      </c>
      <c r="B541" s="59">
        <v>45931</v>
      </c>
      <c r="C541" s="60">
        <v>26</v>
      </c>
      <c r="D541" s="60">
        <v>29</v>
      </c>
      <c r="E541" s="60" t="str">
        <f>tbl_performance[[#This Row],[employee_id]]&amp;"-"&amp;TEXT(tbl_performance[[#This Row],[month]],"mm")</f>
        <v>EMP1049-10</v>
      </c>
      <c r="F541" s="60">
        <f>COUNTIF(tbl_performance[employee_month_key],tbl_performance[[#This Row],[employee_month_key]])</f>
        <v>1</v>
      </c>
      <c r="G541" s="61">
        <f>tbl_performance[[#This Row],[achieved]]/tbl_performance[[#This Row],[target]]</f>
        <v>1.1153846153846154</v>
      </c>
      <c r="H541" s="60" t="str" cm="1">
        <f t="array" ref="H54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42" spans="1:8" ht="19.8" x14ac:dyDescent="0.65">
      <c r="A542" s="58" t="s">
        <v>132</v>
      </c>
      <c r="B542" s="59">
        <v>45962</v>
      </c>
      <c r="C542" s="60">
        <v>26</v>
      </c>
      <c r="D542" s="60">
        <v>29</v>
      </c>
      <c r="E542" s="60" t="str">
        <f>tbl_performance[[#This Row],[employee_id]]&amp;"-"&amp;TEXT(tbl_performance[[#This Row],[month]],"mm")</f>
        <v>EMP1049-11</v>
      </c>
      <c r="F542" s="60">
        <f>COUNTIF(tbl_performance[employee_month_key],tbl_performance[[#This Row],[employee_month_key]])</f>
        <v>1</v>
      </c>
      <c r="G542" s="61">
        <f>tbl_performance[[#This Row],[achieved]]/tbl_performance[[#This Row],[target]]</f>
        <v>1.1153846153846154</v>
      </c>
      <c r="H542" s="60" t="str" cm="1">
        <f t="array" ref="H54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43" spans="1:8" ht="19.8" x14ac:dyDescent="0.65">
      <c r="A543" s="58" t="s">
        <v>132</v>
      </c>
      <c r="B543" s="59">
        <v>45992</v>
      </c>
      <c r="C543" s="60">
        <v>22</v>
      </c>
      <c r="D543" s="60">
        <v>23</v>
      </c>
      <c r="E543" s="60" t="str">
        <f>tbl_performance[[#This Row],[employee_id]]&amp;"-"&amp;TEXT(tbl_performance[[#This Row],[month]],"mm")</f>
        <v>EMP1049-12</v>
      </c>
      <c r="F543" s="60">
        <f>COUNTIF(tbl_performance[employee_month_key],tbl_performance[[#This Row],[employee_month_key]])</f>
        <v>1</v>
      </c>
      <c r="G543" s="61">
        <f>tbl_performance[[#This Row],[achieved]]/tbl_performance[[#This Row],[target]]</f>
        <v>1.0454545454545454</v>
      </c>
      <c r="H543" s="60" t="str" cm="1">
        <f t="array" ref="H543">_xlfn.IFS(tbl_performance[[#This Row],[performance_pct]]&gt;=1.1,"Excellent",tbl_performance[[#This Row],[performance_pct]]&gt;=1,"Good",tbl_performance[[#This Row],[performance_pct]]&gt;=0.85,"Average",TRUE,"Poor")</f>
        <v>Good</v>
      </c>
    </row>
    <row r="544" spans="1:8" ht="19.8" x14ac:dyDescent="0.65">
      <c r="A544" s="58" t="s">
        <v>134</v>
      </c>
      <c r="B544" s="59">
        <v>45658</v>
      </c>
      <c r="C544" s="60">
        <v>29</v>
      </c>
      <c r="D544" s="60">
        <v>30</v>
      </c>
      <c r="E544" s="60" t="str">
        <f>tbl_performance[[#This Row],[employee_id]]&amp;"-"&amp;TEXT(tbl_performance[[#This Row],[month]],"mm")</f>
        <v>EMP1050-01</v>
      </c>
      <c r="F544" s="60">
        <f>COUNTIF(tbl_performance[employee_month_key],tbl_performance[[#This Row],[employee_month_key]])</f>
        <v>1</v>
      </c>
      <c r="G544" s="61">
        <f>tbl_performance[[#This Row],[achieved]]/tbl_performance[[#This Row],[target]]</f>
        <v>1.0344827586206897</v>
      </c>
      <c r="H544" s="60" t="str" cm="1">
        <f t="array" ref="H544">_xlfn.IFS(tbl_performance[[#This Row],[performance_pct]]&gt;=1.1,"Excellent",tbl_performance[[#This Row],[performance_pct]]&gt;=1,"Good",tbl_performance[[#This Row],[performance_pct]]&gt;=0.85,"Average",TRUE,"Poor")</f>
        <v>Good</v>
      </c>
    </row>
    <row r="545" spans="1:8" ht="19.8" x14ac:dyDescent="0.65">
      <c r="A545" s="58" t="s">
        <v>134</v>
      </c>
      <c r="B545" s="59">
        <v>45689</v>
      </c>
      <c r="C545" s="60">
        <v>27</v>
      </c>
      <c r="D545" s="60">
        <v>30</v>
      </c>
      <c r="E545" s="60" t="str">
        <f>tbl_performance[[#This Row],[employee_id]]&amp;"-"&amp;TEXT(tbl_performance[[#This Row],[month]],"mm")</f>
        <v>EMP1050-02</v>
      </c>
      <c r="F545" s="60">
        <f>COUNTIF(tbl_performance[employee_month_key],tbl_performance[[#This Row],[employee_month_key]])</f>
        <v>1</v>
      </c>
      <c r="G545" s="61">
        <f>tbl_performance[[#This Row],[achieved]]/tbl_performance[[#This Row],[target]]</f>
        <v>1.1111111111111112</v>
      </c>
      <c r="H545" s="60" t="str" cm="1">
        <f t="array" ref="H54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46" spans="1:8" ht="19.8" x14ac:dyDescent="0.65">
      <c r="A546" s="58" t="s">
        <v>134</v>
      </c>
      <c r="B546" s="59">
        <v>45717</v>
      </c>
      <c r="C546" s="60">
        <v>30</v>
      </c>
      <c r="D546" s="60">
        <v>33</v>
      </c>
      <c r="E546" s="60" t="str">
        <f>tbl_performance[[#This Row],[employee_id]]&amp;"-"&amp;TEXT(tbl_performance[[#This Row],[month]],"mm")</f>
        <v>EMP1050-03</v>
      </c>
      <c r="F546" s="60">
        <f>COUNTIF(tbl_performance[employee_month_key],tbl_performance[[#This Row],[employee_month_key]])</f>
        <v>1</v>
      </c>
      <c r="G546" s="61">
        <f>tbl_performance[[#This Row],[achieved]]/tbl_performance[[#This Row],[target]]</f>
        <v>1.1000000000000001</v>
      </c>
      <c r="H546" s="60" t="str" cm="1">
        <f t="array" ref="H54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47" spans="1:8" ht="19.8" x14ac:dyDescent="0.65">
      <c r="A547" s="58" t="s">
        <v>134</v>
      </c>
      <c r="B547" s="59">
        <v>45748</v>
      </c>
      <c r="C547" s="60">
        <v>29</v>
      </c>
      <c r="D547" s="60">
        <v>31</v>
      </c>
      <c r="E547" s="60" t="str">
        <f>tbl_performance[[#This Row],[employee_id]]&amp;"-"&amp;TEXT(tbl_performance[[#This Row],[month]],"mm")</f>
        <v>EMP1050-04</v>
      </c>
      <c r="F547" s="60">
        <f>COUNTIF(tbl_performance[employee_month_key],tbl_performance[[#This Row],[employee_month_key]])</f>
        <v>1</v>
      </c>
      <c r="G547" s="61">
        <f>tbl_performance[[#This Row],[achieved]]/tbl_performance[[#This Row],[target]]</f>
        <v>1.0689655172413792</v>
      </c>
      <c r="H547" s="60" t="str" cm="1">
        <f t="array" ref="H547">_xlfn.IFS(tbl_performance[[#This Row],[performance_pct]]&gt;=1.1,"Excellent",tbl_performance[[#This Row],[performance_pct]]&gt;=1,"Good",tbl_performance[[#This Row],[performance_pct]]&gt;=0.85,"Average",TRUE,"Poor")</f>
        <v>Good</v>
      </c>
    </row>
    <row r="548" spans="1:8" ht="19.8" x14ac:dyDescent="0.65">
      <c r="A548" s="58" t="s">
        <v>134</v>
      </c>
      <c r="B548" s="59">
        <v>45778</v>
      </c>
      <c r="C548" s="60">
        <v>29</v>
      </c>
      <c r="D548" s="60">
        <v>32</v>
      </c>
      <c r="E548" s="60" t="str">
        <f>tbl_performance[[#This Row],[employee_id]]&amp;"-"&amp;TEXT(tbl_performance[[#This Row],[month]],"mm")</f>
        <v>EMP1050-05</v>
      </c>
      <c r="F548" s="60">
        <f>COUNTIF(tbl_performance[employee_month_key],tbl_performance[[#This Row],[employee_month_key]])</f>
        <v>1</v>
      </c>
      <c r="G548" s="61">
        <f>tbl_performance[[#This Row],[achieved]]/tbl_performance[[#This Row],[target]]</f>
        <v>1.103448275862069</v>
      </c>
      <c r="H548" s="60" t="str" cm="1">
        <f t="array" ref="H54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49" spans="1:8" ht="19.8" x14ac:dyDescent="0.65">
      <c r="A549" s="58" t="s">
        <v>134</v>
      </c>
      <c r="B549" s="59">
        <v>45809</v>
      </c>
      <c r="C549" s="60">
        <v>29</v>
      </c>
      <c r="D549" s="60">
        <v>30</v>
      </c>
      <c r="E549" s="60" t="str">
        <f>tbl_performance[[#This Row],[employee_id]]&amp;"-"&amp;TEXT(tbl_performance[[#This Row],[month]],"mm")</f>
        <v>EMP1050-06</v>
      </c>
      <c r="F549" s="60">
        <f>COUNTIF(tbl_performance[employee_month_key],tbl_performance[[#This Row],[employee_month_key]])</f>
        <v>1</v>
      </c>
      <c r="G549" s="61">
        <f>tbl_performance[[#This Row],[achieved]]/tbl_performance[[#This Row],[target]]</f>
        <v>1.0344827586206897</v>
      </c>
      <c r="H549" s="60" t="str" cm="1">
        <f t="array" ref="H549">_xlfn.IFS(tbl_performance[[#This Row],[performance_pct]]&gt;=1.1,"Excellent",tbl_performance[[#This Row],[performance_pct]]&gt;=1,"Good",tbl_performance[[#This Row],[performance_pct]]&gt;=0.85,"Average",TRUE,"Poor")</f>
        <v>Good</v>
      </c>
    </row>
    <row r="550" spans="1:8" ht="19.8" x14ac:dyDescent="0.65">
      <c r="A550" s="58" t="s">
        <v>134</v>
      </c>
      <c r="B550" s="59">
        <v>45839</v>
      </c>
      <c r="C550" s="60">
        <v>29</v>
      </c>
      <c r="D550" s="60">
        <v>32</v>
      </c>
      <c r="E550" s="60" t="str">
        <f>tbl_performance[[#This Row],[employee_id]]&amp;"-"&amp;TEXT(tbl_performance[[#This Row],[month]],"mm")</f>
        <v>EMP1050-07</v>
      </c>
      <c r="F550" s="60">
        <f>COUNTIF(tbl_performance[employee_month_key],tbl_performance[[#This Row],[employee_month_key]])</f>
        <v>1</v>
      </c>
      <c r="G550" s="61">
        <f>tbl_performance[[#This Row],[achieved]]/tbl_performance[[#This Row],[target]]</f>
        <v>1.103448275862069</v>
      </c>
      <c r="H550" s="60" t="str" cm="1">
        <f t="array" ref="H55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51" spans="1:8" ht="19.8" x14ac:dyDescent="0.65">
      <c r="A551" s="58" t="s">
        <v>134</v>
      </c>
      <c r="B551" s="59">
        <v>45870</v>
      </c>
      <c r="C551" s="60">
        <v>29</v>
      </c>
      <c r="D551" s="60">
        <v>30</v>
      </c>
      <c r="E551" s="60" t="str">
        <f>tbl_performance[[#This Row],[employee_id]]&amp;"-"&amp;TEXT(tbl_performance[[#This Row],[month]],"mm")</f>
        <v>EMP1050-08</v>
      </c>
      <c r="F551" s="60">
        <f>COUNTIF(tbl_performance[employee_month_key],tbl_performance[[#This Row],[employee_month_key]])</f>
        <v>1</v>
      </c>
      <c r="G551" s="61">
        <f>tbl_performance[[#This Row],[achieved]]/tbl_performance[[#This Row],[target]]</f>
        <v>1.0344827586206897</v>
      </c>
      <c r="H551" s="60" t="str" cm="1">
        <f t="array" ref="H551">_xlfn.IFS(tbl_performance[[#This Row],[performance_pct]]&gt;=1.1,"Excellent",tbl_performance[[#This Row],[performance_pct]]&gt;=1,"Good",tbl_performance[[#This Row],[performance_pct]]&gt;=0.85,"Average",TRUE,"Poor")</f>
        <v>Good</v>
      </c>
    </row>
    <row r="552" spans="1:8" ht="19.8" x14ac:dyDescent="0.65">
      <c r="A552" s="58" t="s">
        <v>134</v>
      </c>
      <c r="B552" s="59">
        <v>45901</v>
      </c>
      <c r="C552" s="60">
        <v>29</v>
      </c>
      <c r="D552" s="60">
        <v>31</v>
      </c>
      <c r="E552" s="60" t="str">
        <f>tbl_performance[[#This Row],[employee_id]]&amp;"-"&amp;TEXT(tbl_performance[[#This Row],[month]],"mm")</f>
        <v>EMP1050-09</v>
      </c>
      <c r="F552" s="60">
        <f>COUNTIF(tbl_performance[employee_month_key],tbl_performance[[#This Row],[employee_month_key]])</f>
        <v>1</v>
      </c>
      <c r="G552" s="61">
        <f>tbl_performance[[#This Row],[achieved]]/tbl_performance[[#This Row],[target]]</f>
        <v>1.0689655172413792</v>
      </c>
      <c r="H552" s="60" t="str" cm="1">
        <f t="array" ref="H552">_xlfn.IFS(tbl_performance[[#This Row],[performance_pct]]&gt;=1.1,"Excellent",tbl_performance[[#This Row],[performance_pct]]&gt;=1,"Good",tbl_performance[[#This Row],[performance_pct]]&gt;=0.85,"Average",TRUE,"Poor")</f>
        <v>Good</v>
      </c>
    </row>
    <row r="553" spans="1:8" ht="19.8" x14ac:dyDescent="0.65">
      <c r="A553" s="58" t="s">
        <v>134</v>
      </c>
      <c r="B553" s="59">
        <v>45931</v>
      </c>
      <c r="C553" s="60">
        <v>30</v>
      </c>
      <c r="D553" s="60">
        <v>34</v>
      </c>
      <c r="E553" s="60" t="str">
        <f>tbl_performance[[#This Row],[employee_id]]&amp;"-"&amp;TEXT(tbl_performance[[#This Row],[month]],"mm")</f>
        <v>EMP1050-10</v>
      </c>
      <c r="F553" s="60">
        <f>COUNTIF(tbl_performance[employee_month_key],tbl_performance[[#This Row],[employee_month_key]])</f>
        <v>1</v>
      </c>
      <c r="G553" s="61">
        <f>tbl_performance[[#This Row],[achieved]]/tbl_performance[[#This Row],[target]]</f>
        <v>1.1333333333333333</v>
      </c>
      <c r="H553" s="60" t="str" cm="1">
        <f t="array" ref="H55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554" spans="1:8" ht="19.8" x14ac:dyDescent="0.65">
      <c r="A554" s="58" t="s">
        <v>134</v>
      </c>
      <c r="B554" s="59">
        <v>45962</v>
      </c>
      <c r="C554" s="60">
        <v>29</v>
      </c>
      <c r="D554" s="60">
        <v>31</v>
      </c>
      <c r="E554" s="60" t="str">
        <f>tbl_performance[[#This Row],[employee_id]]&amp;"-"&amp;TEXT(tbl_performance[[#This Row],[month]],"mm")</f>
        <v>EMP1050-11</v>
      </c>
      <c r="F554" s="60">
        <f>COUNTIF(tbl_performance[employee_month_key],tbl_performance[[#This Row],[employee_month_key]])</f>
        <v>1</v>
      </c>
      <c r="G554" s="61">
        <f>tbl_performance[[#This Row],[achieved]]/tbl_performance[[#This Row],[target]]</f>
        <v>1.0689655172413792</v>
      </c>
      <c r="H554" s="60" t="str" cm="1">
        <f t="array" ref="H554">_xlfn.IFS(tbl_performance[[#This Row],[performance_pct]]&gt;=1.1,"Excellent",tbl_performance[[#This Row],[performance_pct]]&gt;=1,"Good",tbl_performance[[#This Row],[performance_pct]]&gt;=0.85,"Average",TRUE,"Poor")</f>
        <v>Good</v>
      </c>
    </row>
    <row r="555" spans="1:8" ht="19.8" x14ac:dyDescent="0.65">
      <c r="A555" s="58" t="s">
        <v>134</v>
      </c>
      <c r="B555" s="59">
        <v>45992</v>
      </c>
      <c r="C555" s="60">
        <v>25</v>
      </c>
      <c r="D555" s="60">
        <v>25</v>
      </c>
      <c r="E555" s="60" t="str">
        <f>tbl_performance[[#This Row],[employee_id]]&amp;"-"&amp;TEXT(tbl_performance[[#This Row],[month]],"mm")</f>
        <v>EMP1050-12</v>
      </c>
      <c r="F555" s="60">
        <f>COUNTIF(tbl_performance[employee_month_key],tbl_performance[[#This Row],[employee_month_key]])</f>
        <v>1</v>
      </c>
      <c r="G555" s="61">
        <f>tbl_performance[[#This Row],[achieved]]/tbl_performance[[#This Row],[target]]</f>
        <v>1</v>
      </c>
      <c r="H555" s="60" t="str" cm="1">
        <f t="array" ref="H555">_xlfn.IFS(tbl_performance[[#This Row],[performance_pct]]&gt;=1.1,"Excellent",tbl_performance[[#This Row],[performance_pct]]&gt;=1,"Good",tbl_performance[[#This Row],[performance_pct]]&gt;=0.85,"Average",TRUE,"Poor")</f>
        <v>Good</v>
      </c>
    </row>
    <row r="556" spans="1:8" ht="19.8" x14ac:dyDescent="0.65">
      <c r="A556" s="58" t="s">
        <v>136</v>
      </c>
      <c r="B556" s="59">
        <v>45931</v>
      </c>
      <c r="C556" s="60">
        <v>955</v>
      </c>
      <c r="D556" s="60">
        <v>778</v>
      </c>
      <c r="E556" s="60" t="str">
        <f>tbl_performance[[#This Row],[employee_id]]&amp;"-"&amp;TEXT(tbl_performance[[#This Row],[month]],"mm")</f>
        <v>EMP1051-10</v>
      </c>
      <c r="F556" s="60">
        <f>COUNTIF(tbl_performance[employee_month_key],tbl_performance[[#This Row],[employee_month_key]])</f>
        <v>1</v>
      </c>
      <c r="G556" s="61">
        <f>tbl_performance[[#This Row],[achieved]]/tbl_performance[[#This Row],[target]]</f>
        <v>0.81465968586387438</v>
      </c>
      <c r="H556" s="60" t="str" cm="1">
        <f t="array" ref="H556">_xlfn.IFS(tbl_performance[[#This Row],[performance_pct]]&gt;=1.1,"Excellent",tbl_performance[[#This Row],[performance_pct]]&gt;=1,"Good",tbl_performance[[#This Row],[performance_pct]]&gt;=0.85,"Average",TRUE,"Poor")</f>
        <v>Poor</v>
      </c>
    </row>
    <row r="557" spans="1:8" ht="19.8" x14ac:dyDescent="0.65">
      <c r="A557" s="58" t="s">
        <v>136</v>
      </c>
      <c r="B557" s="59">
        <v>45962</v>
      </c>
      <c r="C557" s="60">
        <v>936</v>
      </c>
      <c r="D557" s="60">
        <v>704</v>
      </c>
      <c r="E557" s="60" t="str">
        <f>tbl_performance[[#This Row],[employee_id]]&amp;"-"&amp;TEXT(tbl_performance[[#This Row],[month]],"mm")</f>
        <v>EMP1051-11</v>
      </c>
      <c r="F557" s="60">
        <f>COUNTIF(tbl_performance[employee_month_key],tbl_performance[[#This Row],[employee_month_key]])</f>
        <v>1</v>
      </c>
      <c r="G557" s="61">
        <f>tbl_performance[[#This Row],[achieved]]/tbl_performance[[#This Row],[target]]</f>
        <v>0.75213675213675213</v>
      </c>
      <c r="H557" s="60" t="str" cm="1">
        <f t="array" ref="H557">_xlfn.IFS(tbl_performance[[#This Row],[performance_pct]]&gt;=1.1,"Excellent",tbl_performance[[#This Row],[performance_pct]]&gt;=1,"Good",tbl_performance[[#This Row],[performance_pct]]&gt;=0.85,"Average",TRUE,"Poor")</f>
        <v>Poor</v>
      </c>
    </row>
    <row r="558" spans="1:8" ht="19.8" x14ac:dyDescent="0.65">
      <c r="A558" s="58" t="s">
        <v>136</v>
      </c>
      <c r="B558" s="59">
        <v>45992</v>
      </c>
      <c r="C558" s="60">
        <v>796</v>
      </c>
      <c r="D558" s="60">
        <v>736</v>
      </c>
      <c r="E558" s="60" t="str">
        <f>tbl_performance[[#This Row],[employee_id]]&amp;"-"&amp;TEXT(tbl_performance[[#This Row],[month]],"mm")</f>
        <v>EMP1051-12</v>
      </c>
      <c r="F558" s="60">
        <f>COUNTIF(tbl_performance[employee_month_key],tbl_performance[[#This Row],[employee_month_key]])</f>
        <v>1</v>
      </c>
      <c r="G558" s="61">
        <f>tbl_performance[[#This Row],[achieved]]/tbl_performance[[#This Row],[target]]</f>
        <v>0.92462311557788945</v>
      </c>
      <c r="H558" s="60" t="str" cm="1">
        <f t="array" ref="H55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59" spans="1:8" ht="19.8" x14ac:dyDescent="0.65">
      <c r="A559" s="58" t="s">
        <v>138</v>
      </c>
      <c r="B559" s="59">
        <v>45689</v>
      </c>
      <c r="C559" s="60">
        <v>181</v>
      </c>
      <c r="D559" s="60">
        <v>142</v>
      </c>
      <c r="E559" s="60" t="str">
        <f>tbl_performance[[#This Row],[employee_id]]&amp;"-"&amp;TEXT(tbl_performance[[#This Row],[month]],"mm")</f>
        <v>EMP1052-02</v>
      </c>
      <c r="F559" s="60">
        <f>COUNTIF(tbl_performance[employee_month_key],tbl_performance[[#This Row],[employee_month_key]])</f>
        <v>1</v>
      </c>
      <c r="G559" s="61">
        <f>tbl_performance[[#This Row],[achieved]]/tbl_performance[[#This Row],[target]]</f>
        <v>0.78453038674033149</v>
      </c>
      <c r="H559" s="60" t="str" cm="1">
        <f t="array" ref="H559">_xlfn.IFS(tbl_performance[[#This Row],[performance_pct]]&gt;=1.1,"Excellent",tbl_performance[[#This Row],[performance_pct]]&gt;=1,"Good",tbl_performance[[#This Row],[performance_pct]]&gt;=0.85,"Average",TRUE,"Poor")</f>
        <v>Poor</v>
      </c>
    </row>
    <row r="560" spans="1:8" ht="19.8" x14ac:dyDescent="0.65">
      <c r="A560" s="58" t="s">
        <v>138</v>
      </c>
      <c r="B560" s="59">
        <v>45717</v>
      </c>
      <c r="C560" s="60">
        <v>199</v>
      </c>
      <c r="D560" s="60">
        <v>140</v>
      </c>
      <c r="E560" s="60" t="str">
        <f>tbl_performance[[#This Row],[employee_id]]&amp;"-"&amp;TEXT(tbl_performance[[#This Row],[month]],"mm")</f>
        <v>EMP1052-03</v>
      </c>
      <c r="F560" s="60">
        <f>COUNTIF(tbl_performance[employee_month_key],tbl_performance[[#This Row],[employee_month_key]])</f>
        <v>1</v>
      </c>
      <c r="G560" s="61">
        <f>tbl_performance[[#This Row],[achieved]]/tbl_performance[[#This Row],[target]]</f>
        <v>0.70351758793969854</v>
      </c>
      <c r="H560" s="60" t="str" cm="1">
        <f t="array" ref="H560">_xlfn.IFS(tbl_performance[[#This Row],[performance_pct]]&gt;=1.1,"Excellent",tbl_performance[[#This Row],[performance_pct]]&gt;=1,"Good",tbl_performance[[#This Row],[performance_pct]]&gt;=0.85,"Average",TRUE,"Poor")</f>
        <v>Poor</v>
      </c>
    </row>
    <row r="561" spans="1:8" ht="19.8" x14ac:dyDescent="0.65">
      <c r="A561" s="58" t="s">
        <v>138</v>
      </c>
      <c r="B561" s="59">
        <v>45748</v>
      </c>
      <c r="C561" s="60">
        <v>195</v>
      </c>
      <c r="D561" s="60">
        <v>134</v>
      </c>
      <c r="E561" s="60" t="str">
        <f>tbl_performance[[#This Row],[employee_id]]&amp;"-"&amp;TEXT(tbl_performance[[#This Row],[month]],"mm")</f>
        <v>EMP1052-04</v>
      </c>
      <c r="F561" s="60">
        <f>COUNTIF(tbl_performance[employee_month_key],tbl_performance[[#This Row],[employee_month_key]])</f>
        <v>1</v>
      </c>
      <c r="G561" s="61">
        <f>tbl_performance[[#This Row],[achieved]]/tbl_performance[[#This Row],[target]]</f>
        <v>0.68717948717948718</v>
      </c>
      <c r="H561" s="60" t="str" cm="1">
        <f t="array" ref="H561">_xlfn.IFS(tbl_performance[[#This Row],[performance_pct]]&gt;=1.1,"Excellent",tbl_performance[[#This Row],[performance_pct]]&gt;=1,"Good",tbl_performance[[#This Row],[performance_pct]]&gt;=0.85,"Average",TRUE,"Poor")</f>
        <v>Poor</v>
      </c>
    </row>
    <row r="562" spans="1:8" ht="19.8" x14ac:dyDescent="0.65">
      <c r="A562" s="58" t="s">
        <v>138</v>
      </c>
      <c r="B562" s="59">
        <v>45778</v>
      </c>
      <c r="C562" s="60">
        <v>195</v>
      </c>
      <c r="D562" s="60">
        <v>130</v>
      </c>
      <c r="E562" s="60" t="str">
        <f>tbl_performance[[#This Row],[employee_id]]&amp;"-"&amp;TEXT(tbl_performance[[#This Row],[month]],"mm")</f>
        <v>EMP1052-05</v>
      </c>
      <c r="F562" s="60">
        <f>COUNTIF(tbl_performance[employee_month_key],tbl_performance[[#This Row],[employee_month_key]])</f>
        <v>1</v>
      </c>
      <c r="G562" s="61">
        <f>tbl_performance[[#This Row],[achieved]]/tbl_performance[[#This Row],[target]]</f>
        <v>0.66666666666666663</v>
      </c>
      <c r="H562" s="60" t="str" cm="1">
        <f t="array" ref="H562">_xlfn.IFS(tbl_performance[[#This Row],[performance_pct]]&gt;=1.1,"Excellent",tbl_performance[[#This Row],[performance_pct]]&gt;=1,"Good",tbl_performance[[#This Row],[performance_pct]]&gt;=0.85,"Average",TRUE,"Poor")</f>
        <v>Poor</v>
      </c>
    </row>
    <row r="563" spans="1:8" ht="19.8" x14ac:dyDescent="0.65">
      <c r="A563" s="58" t="s">
        <v>138</v>
      </c>
      <c r="B563" s="59">
        <v>45809</v>
      </c>
      <c r="C563" s="60">
        <v>191</v>
      </c>
      <c r="D563" s="60">
        <v>137</v>
      </c>
      <c r="E563" s="60" t="str">
        <f>tbl_performance[[#This Row],[employee_id]]&amp;"-"&amp;TEXT(tbl_performance[[#This Row],[month]],"mm")</f>
        <v>EMP1052-06</v>
      </c>
      <c r="F563" s="60">
        <f>COUNTIF(tbl_performance[employee_month_key],tbl_performance[[#This Row],[employee_month_key]])</f>
        <v>1</v>
      </c>
      <c r="G563" s="61">
        <f>tbl_performance[[#This Row],[achieved]]/tbl_performance[[#This Row],[target]]</f>
        <v>0.7172774869109948</v>
      </c>
      <c r="H563" s="60" t="str" cm="1">
        <f t="array" ref="H563">_xlfn.IFS(tbl_performance[[#This Row],[performance_pct]]&gt;=1.1,"Excellent",tbl_performance[[#This Row],[performance_pct]]&gt;=1,"Good",tbl_performance[[#This Row],[performance_pct]]&gt;=0.85,"Average",TRUE,"Poor")</f>
        <v>Poor</v>
      </c>
    </row>
    <row r="564" spans="1:8" ht="19.8" x14ac:dyDescent="0.65">
      <c r="A564" s="58" t="s">
        <v>138</v>
      </c>
      <c r="B564" s="59">
        <v>45839</v>
      </c>
      <c r="C564" s="60">
        <v>195</v>
      </c>
      <c r="D564" s="60">
        <v>136</v>
      </c>
      <c r="E564" s="60" t="str">
        <f>tbl_performance[[#This Row],[employee_id]]&amp;"-"&amp;TEXT(tbl_performance[[#This Row],[month]],"mm")</f>
        <v>EMP1052-07</v>
      </c>
      <c r="F564" s="60">
        <f>COUNTIF(tbl_performance[employee_month_key],tbl_performance[[#This Row],[employee_month_key]])</f>
        <v>1</v>
      </c>
      <c r="G564" s="61">
        <f>tbl_performance[[#This Row],[achieved]]/tbl_performance[[#This Row],[target]]</f>
        <v>0.6974358974358974</v>
      </c>
      <c r="H564" s="60" t="str" cm="1">
        <f t="array" ref="H564">_xlfn.IFS(tbl_performance[[#This Row],[performance_pct]]&gt;=1.1,"Excellent",tbl_performance[[#This Row],[performance_pct]]&gt;=1,"Good",tbl_performance[[#This Row],[performance_pct]]&gt;=0.85,"Average",TRUE,"Poor")</f>
        <v>Poor</v>
      </c>
    </row>
    <row r="565" spans="1:8" ht="19.8" x14ac:dyDescent="0.65">
      <c r="A565" s="58" t="s">
        <v>138</v>
      </c>
      <c r="B565" s="59">
        <v>45870</v>
      </c>
      <c r="C565" s="60">
        <v>189</v>
      </c>
      <c r="D565" s="60">
        <v>115</v>
      </c>
      <c r="E565" s="60" t="str">
        <f>tbl_performance[[#This Row],[employee_id]]&amp;"-"&amp;TEXT(tbl_performance[[#This Row],[month]],"mm")</f>
        <v>EMP1052-08</v>
      </c>
      <c r="F565" s="60">
        <f>COUNTIF(tbl_performance[employee_month_key],tbl_performance[[#This Row],[employee_month_key]])</f>
        <v>1</v>
      </c>
      <c r="G565" s="61">
        <f>tbl_performance[[#This Row],[achieved]]/tbl_performance[[#This Row],[target]]</f>
        <v>0.60846560846560849</v>
      </c>
      <c r="H565" s="60" t="str" cm="1">
        <f t="array" ref="H565">_xlfn.IFS(tbl_performance[[#This Row],[performance_pct]]&gt;=1.1,"Excellent",tbl_performance[[#This Row],[performance_pct]]&gt;=1,"Good",tbl_performance[[#This Row],[performance_pct]]&gt;=0.85,"Average",TRUE,"Poor")</f>
        <v>Poor</v>
      </c>
    </row>
    <row r="566" spans="1:8" ht="19.8" x14ac:dyDescent="0.65">
      <c r="A566" s="58" t="s">
        <v>138</v>
      </c>
      <c r="B566" s="59">
        <v>45901</v>
      </c>
      <c r="C566" s="60">
        <v>195</v>
      </c>
      <c r="D566" s="60">
        <v>128</v>
      </c>
      <c r="E566" s="60" t="str">
        <f>tbl_performance[[#This Row],[employee_id]]&amp;"-"&amp;TEXT(tbl_performance[[#This Row],[month]],"mm")</f>
        <v>EMP1052-09</v>
      </c>
      <c r="F566" s="60">
        <f>COUNTIF(tbl_performance[employee_month_key],tbl_performance[[#This Row],[employee_month_key]])</f>
        <v>1</v>
      </c>
      <c r="G566" s="61">
        <f>tbl_performance[[#This Row],[achieved]]/tbl_performance[[#This Row],[target]]</f>
        <v>0.65641025641025641</v>
      </c>
      <c r="H566" s="60" t="str" cm="1">
        <f t="array" ref="H566">_xlfn.IFS(tbl_performance[[#This Row],[performance_pct]]&gt;=1.1,"Excellent",tbl_performance[[#This Row],[performance_pct]]&gt;=1,"Good",tbl_performance[[#This Row],[performance_pct]]&gt;=0.85,"Average",TRUE,"Poor")</f>
        <v>Poor</v>
      </c>
    </row>
    <row r="567" spans="1:8" ht="19.8" x14ac:dyDescent="0.65">
      <c r="A567" s="58" t="s">
        <v>138</v>
      </c>
      <c r="B567" s="59">
        <v>45931</v>
      </c>
      <c r="C567" s="60">
        <v>199</v>
      </c>
      <c r="D567" s="60">
        <v>141</v>
      </c>
      <c r="E567" s="60" t="str">
        <f>tbl_performance[[#This Row],[employee_id]]&amp;"-"&amp;TEXT(tbl_performance[[#This Row],[month]],"mm")</f>
        <v>EMP1052-10</v>
      </c>
      <c r="F567" s="60">
        <f>COUNTIF(tbl_performance[employee_month_key],tbl_performance[[#This Row],[employee_month_key]])</f>
        <v>1</v>
      </c>
      <c r="G567" s="61">
        <f>tbl_performance[[#This Row],[achieved]]/tbl_performance[[#This Row],[target]]</f>
        <v>0.70854271356783916</v>
      </c>
      <c r="H567" s="60" t="str" cm="1">
        <f t="array" ref="H567">_xlfn.IFS(tbl_performance[[#This Row],[performance_pct]]&gt;=1.1,"Excellent",tbl_performance[[#This Row],[performance_pct]]&gt;=1,"Good",tbl_performance[[#This Row],[performance_pct]]&gt;=0.85,"Average",TRUE,"Poor")</f>
        <v>Poor</v>
      </c>
    </row>
    <row r="568" spans="1:8" ht="19.8" x14ac:dyDescent="0.65">
      <c r="A568" s="58" t="s">
        <v>138</v>
      </c>
      <c r="B568" s="59">
        <v>45962</v>
      </c>
      <c r="C568" s="60">
        <v>195</v>
      </c>
      <c r="D568" s="60">
        <v>133</v>
      </c>
      <c r="E568" s="60" t="str">
        <f>tbl_performance[[#This Row],[employee_id]]&amp;"-"&amp;TEXT(tbl_performance[[#This Row],[month]],"mm")</f>
        <v>EMP1052-11</v>
      </c>
      <c r="F568" s="60">
        <f>COUNTIF(tbl_performance[employee_month_key],tbl_performance[[#This Row],[employee_month_key]])</f>
        <v>1</v>
      </c>
      <c r="G568" s="61">
        <f>tbl_performance[[#This Row],[achieved]]/tbl_performance[[#This Row],[target]]</f>
        <v>0.68205128205128207</v>
      </c>
      <c r="H568" s="60" t="str" cm="1">
        <f t="array" ref="H568">_xlfn.IFS(tbl_performance[[#This Row],[performance_pct]]&gt;=1.1,"Excellent",tbl_performance[[#This Row],[performance_pct]]&gt;=1,"Good",tbl_performance[[#This Row],[performance_pct]]&gt;=0.85,"Average",TRUE,"Poor")</f>
        <v>Poor</v>
      </c>
    </row>
    <row r="569" spans="1:8" ht="19.8" x14ac:dyDescent="0.65">
      <c r="A569" s="58" t="s">
        <v>138</v>
      </c>
      <c r="B569" s="59">
        <v>45992</v>
      </c>
      <c r="C569" s="60">
        <v>165</v>
      </c>
      <c r="D569" s="60">
        <v>104</v>
      </c>
      <c r="E569" s="60" t="str">
        <f>tbl_performance[[#This Row],[employee_id]]&amp;"-"&amp;TEXT(tbl_performance[[#This Row],[month]],"mm")</f>
        <v>EMP1052-12</v>
      </c>
      <c r="F569" s="60">
        <f>COUNTIF(tbl_performance[employee_month_key],tbl_performance[[#This Row],[employee_month_key]])</f>
        <v>1</v>
      </c>
      <c r="G569" s="61">
        <f>tbl_performance[[#This Row],[achieved]]/tbl_performance[[#This Row],[target]]</f>
        <v>0.63030303030303025</v>
      </c>
      <c r="H569" s="60" t="str" cm="1">
        <f t="array" ref="H569">_xlfn.IFS(tbl_performance[[#This Row],[performance_pct]]&gt;=1.1,"Excellent",tbl_performance[[#This Row],[performance_pct]]&gt;=1,"Good",tbl_performance[[#This Row],[performance_pct]]&gt;=0.85,"Average",TRUE,"Poor")</f>
        <v>Poor</v>
      </c>
    </row>
    <row r="570" spans="1:8" ht="19.8" x14ac:dyDescent="0.65">
      <c r="A570" s="58" t="s">
        <v>140</v>
      </c>
      <c r="B570" s="59">
        <v>45658</v>
      </c>
      <c r="C570" s="60">
        <v>203</v>
      </c>
      <c r="D570" s="60">
        <v>161</v>
      </c>
      <c r="E570" s="60" t="str">
        <f>tbl_performance[[#This Row],[employee_id]]&amp;"-"&amp;TEXT(tbl_performance[[#This Row],[month]],"mm")</f>
        <v>EMP1053-01</v>
      </c>
      <c r="F570" s="60">
        <f>COUNTIF(tbl_performance[employee_month_key],tbl_performance[[#This Row],[employee_month_key]])</f>
        <v>1</v>
      </c>
      <c r="G570" s="61">
        <f>tbl_performance[[#This Row],[achieved]]/tbl_performance[[#This Row],[target]]</f>
        <v>0.7931034482758621</v>
      </c>
      <c r="H570" s="60" t="str" cm="1">
        <f t="array" ref="H570">_xlfn.IFS(tbl_performance[[#This Row],[performance_pct]]&gt;=1.1,"Excellent",tbl_performance[[#This Row],[performance_pct]]&gt;=1,"Good",tbl_performance[[#This Row],[performance_pct]]&gt;=0.85,"Average",TRUE,"Poor")</f>
        <v>Poor</v>
      </c>
    </row>
    <row r="571" spans="1:8" ht="19.8" x14ac:dyDescent="0.65">
      <c r="A571" s="58" t="s">
        <v>140</v>
      </c>
      <c r="B571" s="59">
        <v>45689</v>
      </c>
      <c r="C571" s="60">
        <v>189</v>
      </c>
      <c r="D571" s="60">
        <v>154</v>
      </c>
      <c r="E571" s="60" t="str">
        <f>tbl_performance[[#This Row],[employee_id]]&amp;"-"&amp;TEXT(tbl_performance[[#This Row],[month]],"mm")</f>
        <v>EMP1053-02</v>
      </c>
      <c r="F571" s="60">
        <f>COUNTIF(tbl_performance[employee_month_key],tbl_performance[[#This Row],[employee_month_key]])</f>
        <v>1</v>
      </c>
      <c r="G571" s="61">
        <f>tbl_performance[[#This Row],[achieved]]/tbl_performance[[#This Row],[target]]</f>
        <v>0.81481481481481477</v>
      </c>
      <c r="H571" s="60" t="str" cm="1">
        <f t="array" ref="H571">_xlfn.IFS(tbl_performance[[#This Row],[performance_pct]]&gt;=1.1,"Excellent",tbl_performance[[#This Row],[performance_pct]]&gt;=1,"Good",tbl_performance[[#This Row],[performance_pct]]&gt;=0.85,"Average",TRUE,"Poor")</f>
        <v>Poor</v>
      </c>
    </row>
    <row r="572" spans="1:8" ht="19.8" x14ac:dyDescent="0.65">
      <c r="A572" s="58" t="s">
        <v>140</v>
      </c>
      <c r="B572" s="59">
        <v>45717</v>
      </c>
      <c r="C572" s="60">
        <v>207</v>
      </c>
      <c r="D572" s="60">
        <v>192</v>
      </c>
      <c r="E572" s="60" t="str">
        <f>tbl_performance[[#This Row],[employee_id]]&amp;"-"&amp;TEXT(tbl_performance[[#This Row],[month]],"mm")</f>
        <v>EMP1053-03</v>
      </c>
      <c r="F572" s="60">
        <f>COUNTIF(tbl_performance[employee_month_key],tbl_performance[[#This Row],[employee_month_key]])</f>
        <v>1</v>
      </c>
      <c r="G572" s="61">
        <f>tbl_performance[[#This Row],[achieved]]/tbl_performance[[#This Row],[target]]</f>
        <v>0.92753623188405798</v>
      </c>
      <c r="H572" s="60" t="str" cm="1">
        <f t="array" ref="H57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3" spans="1:8" ht="19.8" x14ac:dyDescent="0.65">
      <c r="A573" s="58" t="s">
        <v>140</v>
      </c>
      <c r="B573" s="59">
        <v>45748</v>
      </c>
      <c r="C573" s="60">
        <v>203</v>
      </c>
      <c r="D573" s="60">
        <v>182</v>
      </c>
      <c r="E573" s="60" t="str">
        <f>tbl_performance[[#This Row],[employee_id]]&amp;"-"&amp;TEXT(tbl_performance[[#This Row],[month]],"mm")</f>
        <v>EMP1053-04</v>
      </c>
      <c r="F573" s="60">
        <f>COUNTIF(tbl_performance[employee_month_key],tbl_performance[[#This Row],[employee_month_key]])</f>
        <v>1</v>
      </c>
      <c r="G573" s="61">
        <f>tbl_performance[[#This Row],[achieved]]/tbl_performance[[#This Row],[target]]</f>
        <v>0.89655172413793105</v>
      </c>
      <c r="H573" s="60" t="str" cm="1">
        <f t="array" ref="H57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4" spans="1:8" ht="19.8" x14ac:dyDescent="0.65">
      <c r="A574" s="58" t="s">
        <v>140</v>
      </c>
      <c r="B574" s="59">
        <v>45778</v>
      </c>
      <c r="C574" s="60">
        <v>203</v>
      </c>
      <c r="D574" s="60">
        <v>179</v>
      </c>
      <c r="E574" s="60" t="str">
        <f>tbl_performance[[#This Row],[employee_id]]&amp;"-"&amp;TEXT(tbl_performance[[#This Row],[month]],"mm")</f>
        <v>EMP1053-05</v>
      </c>
      <c r="F574" s="60">
        <f>COUNTIF(tbl_performance[employee_month_key],tbl_performance[[#This Row],[employee_month_key]])</f>
        <v>1</v>
      </c>
      <c r="G574" s="61">
        <f>tbl_performance[[#This Row],[achieved]]/tbl_performance[[#This Row],[target]]</f>
        <v>0.88177339901477836</v>
      </c>
      <c r="H574" s="60" t="str" cm="1">
        <f t="array" ref="H57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5" spans="1:8" ht="19.8" x14ac:dyDescent="0.65">
      <c r="A575" s="58" t="s">
        <v>140</v>
      </c>
      <c r="B575" s="59">
        <v>45809</v>
      </c>
      <c r="C575" s="60">
        <v>199</v>
      </c>
      <c r="D575" s="60">
        <v>178</v>
      </c>
      <c r="E575" s="60" t="str">
        <f>tbl_performance[[#This Row],[employee_id]]&amp;"-"&amp;TEXT(tbl_performance[[#This Row],[month]],"mm")</f>
        <v>EMP1053-06</v>
      </c>
      <c r="F575" s="60">
        <f>COUNTIF(tbl_performance[employee_month_key],tbl_performance[[#This Row],[employee_month_key]])</f>
        <v>1</v>
      </c>
      <c r="G575" s="61">
        <f>tbl_performance[[#This Row],[achieved]]/tbl_performance[[#This Row],[target]]</f>
        <v>0.89447236180904521</v>
      </c>
      <c r="H575" s="60" t="str" cm="1">
        <f t="array" ref="H57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6" spans="1:8" ht="19.8" x14ac:dyDescent="0.65">
      <c r="A576" s="58" t="s">
        <v>140</v>
      </c>
      <c r="B576" s="59">
        <v>45839</v>
      </c>
      <c r="C576" s="60">
        <v>203</v>
      </c>
      <c r="D576" s="60">
        <v>185</v>
      </c>
      <c r="E576" s="60" t="str">
        <f>tbl_performance[[#This Row],[employee_id]]&amp;"-"&amp;TEXT(tbl_performance[[#This Row],[month]],"mm")</f>
        <v>EMP1053-07</v>
      </c>
      <c r="F576" s="60">
        <f>COUNTIF(tbl_performance[employee_month_key],tbl_performance[[#This Row],[employee_month_key]])</f>
        <v>1</v>
      </c>
      <c r="G576" s="61">
        <f>tbl_performance[[#This Row],[achieved]]/tbl_performance[[#This Row],[target]]</f>
        <v>0.91133004926108374</v>
      </c>
      <c r="H576" s="60" t="str" cm="1">
        <f t="array" ref="H57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77" spans="1:8" ht="19.8" x14ac:dyDescent="0.65">
      <c r="A577" s="58" t="s">
        <v>140</v>
      </c>
      <c r="B577" s="59">
        <v>45870</v>
      </c>
      <c r="C577" s="60">
        <v>197</v>
      </c>
      <c r="D577" s="60">
        <v>141</v>
      </c>
      <c r="E577" s="60" t="str">
        <f>tbl_performance[[#This Row],[employee_id]]&amp;"-"&amp;TEXT(tbl_performance[[#This Row],[month]],"mm")</f>
        <v>EMP1053-08</v>
      </c>
      <c r="F577" s="60">
        <f>COUNTIF(tbl_performance[employee_month_key],tbl_performance[[#This Row],[employee_month_key]])</f>
        <v>1</v>
      </c>
      <c r="G577" s="61">
        <f>tbl_performance[[#This Row],[achieved]]/tbl_performance[[#This Row],[target]]</f>
        <v>0.71573604060913709</v>
      </c>
      <c r="H577" s="60" t="str" cm="1">
        <f t="array" ref="H577">_xlfn.IFS(tbl_performance[[#This Row],[performance_pct]]&gt;=1.1,"Excellent",tbl_performance[[#This Row],[performance_pct]]&gt;=1,"Good",tbl_performance[[#This Row],[performance_pct]]&gt;=0.85,"Average",TRUE,"Poor")</f>
        <v>Poor</v>
      </c>
    </row>
    <row r="578" spans="1:8" ht="19.8" x14ac:dyDescent="0.65">
      <c r="A578" s="58" t="s">
        <v>140</v>
      </c>
      <c r="B578" s="59">
        <v>45901</v>
      </c>
      <c r="C578" s="60">
        <v>203</v>
      </c>
      <c r="D578" s="60">
        <v>163</v>
      </c>
      <c r="E578" s="60" t="str">
        <f>tbl_performance[[#This Row],[employee_id]]&amp;"-"&amp;TEXT(tbl_performance[[#This Row],[month]],"mm")</f>
        <v>EMP1053-09</v>
      </c>
      <c r="F578" s="60">
        <f>COUNTIF(tbl_performance[employee_month_key],tbl_performance[[#This Row],[employee_month_key]])</f>
        <v>1</v>
      </c>
      <c r="G578" s="61">
        <f>tbl_performance[[#This Row],[achieved]]/tbl_performance[[#This Row],[target]]</f>
        <v>0.80295566502463056</v>
      </c>
      <c r="H578" s="60" t="str" cm="1">
        <f t="array" ref="H578">_xlfn.IFS(tbl_performance[[#This Row],[performance_pct]]&gt;=1.1,"Excellent",tbl_performance[[#This Row],[performance_pct]]&gt;=1,"Good",tbl_performance[[#This Row],[performance_pct]]&gt;=0.85,"Average",TRUE,"Poor")</f>
        <v>Poor</v>
      </c>
    </row>
    <row r="579" spans="1:8" ht="19.8" x14ac:dyDescent="0.65">
      <c r="A579" s="58" t="s">
        <v>140</v>
      </c>
      <c r="B579" s="59">
        <v>45931</v>
      </c>
      <c r="C579" s="60">
        <v>207</v>
      </c>
      <c r="D579" s="60">
        <v>188</v>
      </c>
      <c r="E579" s="60" t="str">
        <f>tbl_performance[[#This Row],[employee_id]]&amp;"-"&amp;TEXT(tbl_performance[[#This Row],[month]],"mm")</f>
        <v>EMP1053-10</v>
      </c>
      <c r="F579" s="60">
        <f>COUNTIF(tbl_performance[employee_month_key],tbl_performance[[#This Row],[employee_month_key]])</f>
        <v>1</v>
      </c>
      <c r="G579" s="61">
        <f>tbl_performance[[#This Row],[achieved]]/tbl_performance[[#This Row],[target]]</f>
        <v>0.90821256038647347</v>
      </c>
      <c r="H579" s="60" t="str" cm="1">
        <f t="array" ref="H57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80" spans="1:8" ht="19.8" x14ac:dyDescent="0.65">
      <c r="A580" s="58" t="s">
        <v>140</v>
      </c>
      <c r="B580" s="59">
        <v>45962</v>
      </c>
      <c r="C580" s="60">
        <v>203</v>
      </c>
      <c r="D580" s="60">
        <v>171</v>
      </c>
      <c r="E580" s="60" t="str">
        <f>tbl_performance[[#This Row],[employee_id]]&amp;"-"&amp;TEXT(tbl_performance[[#This Row],[month]],"mm")</f>
        <v>EMP1053-11</v>
      </c>
      <c r="F580" s="60">
        <f>COUNTIF(tbl_performance[employee_month_key],tbl_performance[[#This Row],[employee_month_key]])</f>
        <v>1</v>
      </c>
      <c r="G580" s="61">
        <f>tbl_performance[[#This Row],[achieved]]/tbl_performance[[#This Row],[target]]</f>
        <v>0.8423645320197044</v>
      </c>
      <c r="H580" s="60" t="str" cm="1">
        <f t="array" ref="H580">_xlfn.IFS(tbl_performance[[#This Row],[performance_pct]]&gt;=1.1,"Excellent",tbl_performance[[#This Row],[performance_pct]]&gt;=1,"Good",tbl_performance[[#This Row],[performance_pct]]&gt;=0.85,"Average",TRUE,"Poor")</f>
        <v>Poor</v>
      </c>
    </row>
    <row r="581" spans="1:8" ht="19.8" x14ac:dyDescent="0.65">
      <c r="A581" s="58" t="s">
        <v>140</v>
      </c>
      <c r="B581" s="59">
        <v>45992</v>
      </c>
      <c r="C581" s="60">
        <v>172</v>
      </c>
      <c r="D581" s="60">
        <v>146</v>
      </c>
      <c r="E581" s="60" t="str">
        <f>tbl_performance[[#This Row],[employee_id]]&amp;"-"&amp;TEXT(tbl_performance[[#This Row],[month]],"mm")</f>
        <v>EMP1053-12</v>
      </c>
      <c r="F581" s="60">
        <f>COUNTIF(tbl_performance[employee_month_key],tbl_performance[[#This Row],[employee_month_key]])</f>
        <v>1</v>
      </c>
      <c r="G581" s="61">
        <f>tbl_performance[[#This Row],[achieved]]/tbl_performance[[#This Row],[target]]</f>
        <v>0.84883720930232553</v>
      </c>
      <c r="H581" s="60" t="str" cm="1">
        <f t="array" ref="H581">_xlfn.IFS(tbl_performance[[#This Row],[performance_pct]]&gt;=1.1,"Excellent",tbl_performance[[#This Row],[performance_pct]]&gt;=1,"Good",tbl_performance[[#This Row],[performance_pct]]&gt;=0.85,"Average",TRUE,"Poor")</f>
        <v>Poor</v>
      </c>
    </row>
    <row r="582" spans="1:8" ht="19.8" x14ac:dyDescent="0.65">
      <c r="A582" s="58" t="s">
        <v>142</v>
      </c>
      <c r="B582" s="59">
        <v>45658</v>
      </c>
      <c r="C582" s="60">
        <v>16</v>
      </c>
      <c r="D582" s="60">
        <v>16</v>
      </c>
      <c r="E582" s="60" t="str">
        <f>tbl_performance[[#This Row],[employee_id]]&amp;"-"&amp;TEXT(tbl_performance[[#This Row],[month]],"mm")</f>
        <v>EMP1054-01</v>
      </c>
      <c r="F582" s="60">
        <f>COUNTIF(tbl_performance[employee_month_key],tbl_performance[[#This Row],[employee_month_key]])</f>
        <v>1</v>
      </c>
      <c r="G582" s="61">
        <f>tbl_performance[[#This Row],[achieved]]/tbl_performance[[#This Row],[target]]</f>
        <v>1</v>
      </c>
      <c r="H582" s="60" t="str" cm="1">
        <f t="array" ref="H582">_xlfn.IFS(tbl_performance[[#This Row],[performance_pct]]&gt;=1.1,"Excellent",tbl_performance[[#This Row],[performance_pct]]&gt;=1,"Good",tbl_performance[[#This Row],[performance_pct]]&gt;=0.85,"Average",TRUE,"Poor")</f>
        <v>Good</v>
      </c>
    </row>
    <row r="583" spans="1:8" ht="19.8" x14ac:dyDescent="0.65">
      <c r="A583" s="58" t="s">
        <v>142</v>
      </c>
      <c r="B583" s="59">
        <v>45689</v>
      </c>
      <c r="C583" s="60">
        <v>15</v>
      </c>
      <c r="D583" s="60">
        <v>15</v>
      </c>
      <c r="E583" s="60" t="str">
        <f>tbl_performance[[#This Row],[employee_id]]&amp;"-"&amp;TEXT(tbl_performance[[#This Row],[month]],"mm")</f>
        <v>EMP1054-02</v>
      </c>
      <c r="F583" s="60">
        <f>COUNTIF(tbl_performance[employee_month_key],tbl_performance[[#This Row],[employee_month_key]])</f>
        <v>1</v>
      </c>
      <c r="G583" s="61">
        <f>tbl_performance[[#This Row],[achieved]]/tbl_performance[[#This Row],[target]]</f>
        <v>1</v>
      </c>
      <c r="H583" s="60" t="str" cm="1">
        <f t="array" ref="H583">_xlfn.IFS(tbl_performance[[#This Row],[performance_pct]]&gt;=1.1,"Excellent",tbl_performance[[#This Row],[performance_pct]]&gt;=1,"Good",tbl_performance[[#This Row],[performance_pct]]&gt;=0.85,"Average",TRUE,"Poor")</f>
        <v>Good</v>
      </c>
    </row>
    <row r="584" spans="1:8" ht="19.8" x14ac:dyDescent="0.65">
      <c r="A584" s="58" t="s">
        <v>142</v>
      </c>
      <c r="B584" s="59">
        <v>45717</v>
      </c>
      <c r="C584" s="60">
        <v>16</v>
      </c>
      <c r="D584" s="60">
        <v>15</v>
      </c>
      <c r="E584" s="60" t="str">
        <f>tbl_performance[[#This Row],[employee_id]]&amp;"-"&amp;TEXT(tbl_performance[[#This Row],[month]],"mm")</f>
        <v>EMP1054-03</v>
      </c>
      <c r="F584" s="60">
        <f>COUNTIF(tbl_performance[employee_month_key],tbl_performance[[#This Row],[employee_month_key]])</f>
        <v>1</v>
      </c>
      <c r="G584" s="61">
        <f>tbl_performance[[#This Row],[achieved]]/tbl_performance[[#This Row],[target]]</f>
        <v>0.9375</v>
      </c>
      <c r="H584" s="60" t="str" cm="1">
        <f t="array" ref="H58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85" spans="1:8" ht="19.8" x14ac:dyDescent="0.65">
      <c r="A585" s="58" t="s">
        <v>142</v>
      </c>
      <c r="B585" s="59">
        <v>45748</v>
      </c>
      <c r="C585" s="60">
        <v>16</v>
      </c>
      <c r="D585" s="60">
        <v>16</v>
      </c>
      <c r="E585" s="60" t="str">
        <f>tbl_performance[[#This Row],[employee_id]]&amp;"-"&amp;TEXT(tbl_performance[[#This Row],[month]],"mm")</f>
        <v>EMP1054-04</v>
      </c>
      <c r="F585" s="60">
        <f>COUNTIF(tbl_performance[employee_month_key],tbl_performance[[#This Row],[employee_month_key]])</f>
        <v>1</v>
      </c>
      <c r="G585" s="61">
        <f>tbl_performance[[#This Row],[achieved]]/tbl_performance[[#This Row],[target]]</f>
        <v>1</v>
      </c>
      <c r="H585" s="60" t="str" cm="1">
        <f t="array" ref="H585">_xlfn.IFS(tbl_performance[[#This Row],[performance_pct]]&gt;=1.1,"Excellent",tbl_performance[[#This Row],[performance_pct]]&gt;=1,"Good",tbl_performance[[#This Row],[performance_pct]]&gt;=0.85,"Average",TRUE,"Poor")</f>
        <v>Good</v>
      </c>
    </row>
    <row r="586" spans="1:8" ht="19.8" x14ac:dyDescent="0.65">
      <c r="A586" s="58" t="s">
        <v>142</v>
      </c>
      <c r="B586" s="59">
        <v>45778</v>
      </c>
      <c r="C586" s="60">
        <v>16</v>
      </c>
      <c r="D586" s="60">
        <v>17</v>
      </c>
      <c r="E586" s="60" t="str">
        <f>tbl_performance[[#This Row],[employee_id]]&amp;"-"&amp;TEXT(tbl_performance[[#This Row],[month]],"mm")</f>
        <v>EMP1054-05</v>
      </c>
      <c r="F586" s="60">
        <f>COUNTIF(tbl_performance[employee_month_key],tbl_performance[[#This Row],[employee_month_key]])</f>
        <v>1</v>
      </c>
      <c r="G586" s="61">
        <f>tbl_performance[[#This Row],[achieved]]/tbl_performance[[#This Row],[target]]</f>
        <v>1.0625</v>
      </c>
      <c r="H586" s="60" t="str" cm="1">
        <f t="array" ref="H586">_xlfn.IFS(tbl_performance[[#This Row],[performance_pct]]&gt;=1.1,"Excellent",tbl_performance[[#This Row],[performance_pct]]&gt;=1,"Good",tbl_performance[[#This Row],[performance_pct]]&gt;=0.85,"Average",TRUE,"Poor")</f>
        <v>Good</v>
      </c>
    </row>
    <row r="587" spans="1:8" ht="19.8" x14ac:dyDescent="0.65">
      <c r="A587" s="58" t="s">
        <v>142</v>
      </c>
      <c r="B587" s="59">
        <v>45809</v>
      </c>
      <c r="C587" s="60">
        <v>16</v>
      </c>
      <c r="D587" s="60">
        <v>16</v>
      </c>
      <c r="E587" s="60" t="str">
        <f>tbl_performance[[#This Row],[employee_id]]&amp;"-"&amp;TEXT(tbl_performance[[#This Row],[month]],"mm")</f>
        <v>EMP1054-06</v>
      </c>
      <c r="F587" s="60">
        <f>COUNTIF(tbl_performance[employee_month_key],tbl_performance[[#This Row],[employee_month_key]])</f>
        <v>1</v>
      </c>
      <c r="G587" s="61">
        <f>tbl_performance[[#This Row],[achieved]]/tbl_performance[[#This Row],[target]]</f>
        <v>1</v>
      </c>
      <c r="H587" s="60" t="str" cm="1">
        <f t="array" ref="H587">_xlfn.IFS(tbl_performance[[#This Row],[performance_pct]]&gt;=1.1,"Excellent",tbl_performance[[#This Row],[performance_pct]]&gt;=1,"Good",tbl_performance[[#This Row],[performance_pct]]&gt;=0.85,"Average",TRUE,"Poor")</f>
        <v>Good</v>
      </c>
    </row>
    <row r="588" spans="1:8" ht="19.8" x14ac:dyDescent="0.65">
      <c r="A588" s="58" t="s">
        <v>142</v>
      </c>
      <c r="B588" s="59">
        <v>45839</v>
      </c>
      <c r="C588" s="60">
        <v>16</v>
      </c>
      <c r="D588" s="60">
        <v>15</v>
      </c>
      <c r="E588" s="60" t="str">
        <f>tbl_performance[[#This Row],[employee_id]]&amp;"-"&amp;TEXT(tbl_performance[[#This Row],[month]],"mm")</f>
        <v>EMP1054-07</v>
      </c>
      <c r="F588" s="60">
        <f>COUNTIF(tbl_performance[employee_month_key],tbl_performance[[#This Row],[employee_month_key]])</f>
        <v>1</v>
      </c>
      <c r="G588" s="61">
        <f>tbl_performance[[#This Row],[achieved]]/tbl_performance[[#This Row],[target]]</f>
        <v>0.9375</v>
      </c>
      <c r="H588" s="60" t="str" cm="1">
        <f t="array" ref="H5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89" spans="1:8" ht="19.8" x14ac:dyDescent="0.65">
      <c r="A589" s="58" t="s">
        <v>142</v>
      </c>
      <c r="B589" s="59">
        <v>45870</v>
      </c>
      <c r="C589" s="60">
        <v>16</v>
      </c>
      <c r="D589" s="60">
        <v>15</v>
      </c>
      <c r="E589" s="60" t="str">
        <f>tbl_performance[[#This Row],[employee_id]]&amp;"-"&amp;TEXT(tbl_performance[[#This Row],[month]],"mm")</f>
        <v>EMP1054-08</v>
      </c>
      <c r="F589" s="60">
        <f>COUNTIF(tbl_performance[employee_month_key],tbl_performance[[#This Row],[employee_month_key]])</f>
        <v>1</v>
      </c>
      <c r="G589" s="61">
        <f>tbl_performance[[#This Row],[achieved]]/tbl_performance[[#This Row],[target]]</f>
        <v>0.9375</v>
      </c>
      <c r="H589" s="60" t="str" cm="1">
        <f t="array" ref="H5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0" spans="1:8" ht="19.8" x14ac:dyDescent="0.65">
      <c r="A590" s="58" t="s">
        <v>142</v>
      </c>
      <c r="B590" s="59">
        <v>45901</v>
      </c>
      <c r="C590" s="60">
        <v>16</v>
      </c>
      <c r="D590" s="60">
        <v>15</v>
      </c>
      <c r="E590" s="60" t="str">
        <f>tbl_performance[[#This Row],[employee_id]]&amp;"-"&amp;TEXT(tbl_performance[[#This Row],[month]],"mm")</f>
        <v>EMP1054-09</v>
      </c>
      <c r="F590" s="60">
        <f>COUNTIF(tbl_performance[employee_month_key],tbl_performance[[#This Row],[employee_month_key]])</f>
        <v>1</v>
      </c>
      <c r="G590" s="61">
        <f>tbl_performance[[#This Row],[achieved]]/tbl_performance[[#This Row],[target]]</f>
        <v>0.9375</v>
      </c>
      <c r="H590" s="60" t="str" cm="1">
        <f t="array" ref="H59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1" spans="1:8" ht="19.8" x14ac:dyDescent="0.65">
      <c r="A591" s="58" t="s">
        <v>142</v>
      </c>
      <c r="B591" s="59">
        <v>45931</v>
      </c>
      <c r="C591" s="60">
        <v>16</v>
      </c>
      <c r="D591" s="60">
        <v>16</v>
      </c>
      <c r="E591" s="60" t="str">
        <f>tbl_performance[[#This Row],[employee_id]]&amp;"-"&amp;TEXT(tbl_performance[[#This Row],[month]],"mm")</f>
        <v>EMP1054-10</v>
      </c>
      <c r="F591" s="60">
        <f>COUNTIF(tbl_performance[employee_month_key],tbl_performance[[#This Row],[employee_month_key]])</f>
        <v>1</v>
      </c>
      <c r="G591" s="61">
        <f>tbl_performance[[#This Row],[achieved]]/tbl_performance[[#This Row],[target]]</f>
        <v>1</v>
      </c>
      <c r="H591" s="60" t="str" cm="1">
        <f t="array" ref="H591">_xlfn.IFS(tbl_performance[[#This Row],[performance_pct]]&gt;=1.1,"Excellent",tbl_performance[[#This Row],[performance_pct]]&gt;=1,"Good",tbl_performance[[#This Row],[performance_pct]]&gt;=0.85,"Average",TRUE,"Poor")</f>
        <v>Good</v>
      </c>
    </row>
    <row r="592" spans="1:8" ht="19.8" x14ac:dyDescent="0.65">
      <c r="A592" s="58" t="s">
        <v>142</v>
      </c>
      <c r="B592" s="59">
        <v>45962</v>
      </c>
      <c r="C592" s="60">
        <v>16</v>
      </c>
      <c r="D592" s="60">
        <v>16</v>
      </c>
      <c r="E592" s="60" t="str">
        <f>tbl_performance[[#This Row],[employee_id]]&amp;"-"&amp;TEXT(tbl_performance[[#This Row],[month]],"mm")</f>
        <v>EMP1054-11</v>
      </c>
      <c r="F592" s="60">
        <f>COUNTIF(tbl_performance[employee_month_key],tbl_performance[[#This Row],[employee_month_key]])</f>
        <v>1</v>
      </c>
      <c r="G592" s="61">
        <f>tbl_performance[[#This Row],[achieved]]/tbl_performance[[#This Row],[target]]</f>
        <v>1</v>
      </c>
      <c r="H592" s="60" t="str" cm="1">
        <f t="array" ref="H592">_xlfn.IFS(tbl_performance[[#This Row],[performance_pct]]&gt;=1.1,"Excellent",tbl_performance[[#This Row],[performance_pct]]&gt;=1,"Good",tbl_performance[[#This Row],[performance_pct]]&gt;=0.85,"Average",TRUE,"Poor")</f>
        <v>Good</v>
      </c>
    </row>
    <row r="593" spans="1:8" ht="19.8" x14ac:dyDescent="0.65">
      <c r="A593" s="58" t="s">
        <v>142</v>
      </c>
      <c r="B593" s="59">
        <v>45992</v>
      </c>
      <c r="C593" s="60">
        <v>14</v>
      </c>
      <c r="D593" s="60">
        <v>13</v>
      </c>
      <c r="E593" s="60" t="str">
        <f>tbl_performance[[#This Row],[employee_id]]&amp;"-"&amp;TEXT(tbl_performance[[#This Row],[month]],"mm")</f>
        <v>EMP1054-12</v>
      </c>
      <c r="F593" s="60">
        <f>COUNTIF(tbl_performance[employee_month_key],tbl_performance[[#This Row],[employee_month_key]])</f>
        <v>1</v>
      </c>
      <c r="G593" s="61">
        <f>tbl_performance[[#This Row],[achieved]]/tbl_performance[[#This Row],[target]]</f>
        <v>0.9285714285714286</v>
      </c>
      <c r="H593" s="60" t="str" cm="1">
        <f t="array" ref="H59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4" spans="1:8" ht="19.8" x14ac:dyDescent="0.65">
      <c r="A594" s="58" t="s">
        <v>144</v>
      </c>
      <c r="B594" s="59">
        <v>45658</v>
      </c>
      <c r="C594" s="60">
        <v>55368</v>
      </c>
      <c r="D594" s="60">
        <v>46890</v>
      </c>
      <c r="E594" s="60" t="str">
        <f>tbl_performance[[#This Row],[employee_id]]&amp;"-"&amp;TEXT(tbl_performance[[#This Row],[month]],"mm")</f>
        <v>EMP1055-01</v>
      </c>
      <c r="F594" s="60">
        <f>COUNTIF(tbl_performance[employee_month_key],tbl_performance[[#This Row],[employee_month_key]])</f>
        <v>1</v>
      </c>
      <c r="G594" s="61">
        <f>tbl_performance[[#This Row],[achieved]]/tbl_performance[[#This Row],[target]]</f>
        <v>0.8468790637191157</v>
      </c>
      <c r="H594" s="60" t="str" cm="1">
        <f t="array" ref="H594">_xlfn.IFS(tbl_performance[[#This Row],[performance_pct]]&gt;=1.1,"Excellent",tbl_performance[[#This Row],[performance_pct]]&gt;=1,"Good",tbl_performance[[#This Row],[performance_pct]]&gt;=0.85,"Average",TRUE,"Poor")</f>
        <v>Poor</v>
      </c>
    </row>
    <row r="595" spans="1:8" ht="19.8" x14ac:dyDescent="0.65">
      <c r="A595" s="58" t="s">
        <v>144</v>
      </c>
      <c r="B595" s="59">
        <v>45689</v>
      </c>
      <c r="C595" s="60">
        <v>51492</v>
      </c>
      <c r="D595" s="60">
        <v>45378</v>
      </c>
      <c r="E595" s="60" t="str">
        <f>tbl_performance[[#This Row],[employee_id]]&amp;"-"&amp;TEXT(tbl_performance[[#This Row],[month]],"mm")</f>
        <v>EMP1055-02</v>
      </c>
      <c r="F595" s="60">
        <f>COUNTIF(tbl_performance[employee_month_key],tbl_performance[[#This Row],[employee_month_key]])</f>
        <v>1</v>
      </c>
      <c r="G595" s="61">
        <f>tbl_performance[[#This Row],[achieved]]/tbl_performance[[#This Row],[target]]</f>
        <v>0.88126310883243997</v>
      </c>
      <c r="H595" s="60" t="str" cm="1">
        <f t="array" ref="H59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6" spans="1:8" ht="19.8" x14ac:dyDescent="0.65">
      <c r="A596" s="58" t="s">
        <v>144</v>
      </c>
      <c r="B596" s="59">
        <v>45717</v>
      </c>
      <c r="C596" s="60">
        <v>56475</v>
      </c>
      <c r="D596" s="60">
        <v>46973</v>
      </c>
      <c r="E596" s="60" t="str">
        <f>tbl_performance[[#This Row],[employee_id]]&amp;"-"&amp;TEXT(tbl_performance[[#This Row],[month]],"mm")</f>
        <v>EMP1055-03</v>
      </c>
      <c r="F596" s="60">
        <f>COUNTIF(tbl_performance[employee_month_key],tbl_performance[[#This Row],[employee_month_key]])</f>
        <v>1</v>
      </c>
      <c r="G596" s="61">
        <f>tbl_performance[[#This Row],[achieved]]/tbl_performance[[#This Row],[target]]</f>
        <v>0.83174856131031427</v>
      </c>
      <c r="H596" s="60" t="str" cm="1">
        <f t="array" ref="H596">_xlfn.IFS(tbl_performance[[#This Row],[performance_pct]]&gt;=1.1,"Excellent",tbl_performance[[#This Row],[performance_pct]]&gt;=1,"Good",tbl_performance[[#This Row],[performance_pct]]&gt;=0.85,"Average",TRUE,"Poor")</f>
        <v>Poor</v>
      </c>
    </row>
    <row r="597" spans="1:8" ht="19.8" x14ac:dyDescent="0.65">
      <c r="A597" s="58" t="s">
        <v>144</v>
      </c>
      <c r="B597" s="59">
        <v>45748</v>
      </c>
      <c r="C597" s="60">
        <v>55368</v>
      </c>
      <c r="D597" s="60">
        <v>48729</v>
      </c>
      <c r="E597" s="60" t="str">
        <f>tbl_performance[[#This Row],[employee_id]]&amp;"-"&amp;TEXT(tbl_performance[[#This Row],[month]],"mm")</f>
        <v>EMP1055-04</v>
      </c>
      <c r="F597" s="60">
        <f>COUNTIF(tbl_performance[employee_month_key],tbl_performance[[#This Row],[employee_month_key]])</f>
        <v>1</v>
      </c>
      <c r="G597" s="61">
        <f>tbl_performance[[#This Row],[achieved]]/tbl_performance[[#This Row],[target]]</f>
        <v>0.8800931946250542</v>
      </c>
      <c r="H597" s="60" t="str" cm="1">
        <f t="array" ref="H59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598" spans="1:8" ht="19.8" x14ac:dyDescent="0.65">
      <c r="A598" s="58" t="s">
        <v>144</v>
      </c>
      <c r="B598" s="59">
        <v>45778</v>
      </c>
      <c r="C598" s="60">
        <v>55368</v>
      </c>
      <c r="D598" s="60">
        <v>46357</v>
      </c>
      <c r="E598" s="60" t="str">
        <f>tbl_performance[[#This Row],[employee_id]]&amp;"-"&amp;TEXT(tbl_performance[[#This Row],[month]],"mm")</f>
        <v>EMP1055-05</v>
      </c>
      <c r="F598" s="60">
        <f>COUNTIF(tbl_performance[employee_month_key],tbl_performance[[#This Row],[employee_month_key]])</f>
        <v>1</v>
      </c>
      <c r="G598" s="61">
        <f>tbl_performance[[#This Row],[achieved]]/tbl_performance[[#This Row],[target]]</f>
        <v>0.83725256465828635</v>
      </c>
      <c r="H598" s="60" t="str" cm="1">
        <f t="array" ref="H598">_xlfn.IFS(tbl_performance[[#This Row],[performance_pct]]&gt;=1.1,"Excellent",tbl_performance[[#This Row],[performance_pct]]&gt;=1,"Good",tbl_performance[[#This Row],[performance_pct]]&gt;=0.85,"Average",TRUE,"Poor")</f>
        <v>Poor</v>
      </c>
    </row>
    <row r="599" spans="1:8" ht="19.8" x14ac:dyDescent="0.65">
      <c r="A599" s="58" t="s">
        <v>144</v>
      </c>
      <c r="B599" s="59">
        <v>45809</v>
      </c>
      <c r="C599" s="60">
        <v>54261</v>
      </c>
      <c r="D599" s="60">
        <v>47469</v>
      </c>
      <c r="E599" s="60" t="str">
        <f>tbl_performance[[#This Row],[employee_id]]&amp;"-"&amp;TEXT(tbl_performance[[#This Row],[month]],"mm")</f>
        <v>EMP1055-06</v>
      </c>
      <c r="F599" s="60">
        <f>COUNTIF(tbl_performance[employee_month_key],tbl_performance[[#This Row],[employee_month_key]])</f>
        <v>1</v>
      </c>
      <c r="G599" s="61">
        <f>tbl_performance[[#This Row],[achieved]]/tbl_performance[[#This Row],[target]]</f>
        <v>0.87482722397301926</v>
      </c>
      <c r="H599" s="60" t="str" cm="1">
        <f t="array" ref="H59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00" spans="1:8" ht="19.8" x14ac:dyDescent="0.65">
      <c r="A600" s="58" t="s">
        <v>144</v>
      </c>
      <c r="B600" s="59">
        <v>45839</v>
      </c>
      <c r="C600" s="60">
        <v>55368</v>
      </c>
      <c r="D600" s="60">
        <v>59674</v>
      </c>
      <c r="E600" s="60" t="str">
        <f>tbl_performance[[#This Row],[employee_id]]&amp;"-"&amp;TEXT(tbl_performance[[#This Row],[month]],"mm")</f>
        <v>EMP1055-07</v>
      </c>
      <c r="F600" s="60">
        <f>COUNTIF(tbl_performance[employee_month_key],tbl_performance[[#This Row],[employee_month_key]])</f>
        <v>1</v>
      </c>
      <c r="G600" s="61">
        <f>tbl_performance[[#This Row],[achieved]]/tbl_performance[[#This Row],[target]]</f>
        <v>1.0777705533882387</v>
      </c>
      <c r="H600" s="60" t="str" cm="1">
        <f t="array" ref="H600">_xlfn.IFS(tbl_performance[[#This Row],[performance_pct]]&gt;=1.1,"Excellent",tbl_performance[[#This Row],[performance_pct]]&gt;=1,"Good",tbl_performance[[#This Row],[performance_pct]]&gt;=0.85,"Average",TRUE,"Poor")</f>
        <v>Good</v>
      </c>
    </row>
    <row r="601" spans="1:8" ht="19.8" x14ac:dyDescent="0.65">
      <c r="A601" s="58" t="s">
        <v>144</v>
      </c>
      <c r="B601" s="59">
        <v>45870</v>
      </c>
      <c r="C601" s="60">
        <v>53707</v>
      </c>
      <c r="D601" s="60">
        <v>47126</v>
      </c>
      <c r="E601" s="60" t="str">
        <f>tbl_performance[[#This Row],[employee_id]]&amp;"-"&amp;TEXT(tbl_performance[[#This Row],[month]],"mm")</f>
        <v>EMP1055-08</v>
      </c>
      <c r="F601" s="60">
        <f>COUNTIF(tbl_performance[employee_month_key],tbl_performance[[#This Row],[employee_month_key]])</f>
        <v>1</v>
      </c>
      <c r="G601" s="61">
        <f>tbl_performance[[#This Row],[achieved]]/tbl_performance[[#This Row],[target]]</f>
        <v>0.87746476250768057</v>
      </c>
      <c r="H601" s="60" t="str" cm="1">
        <f t="array" ref="H60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02" spans="1:8" ht="19.8" x14ac:dyDescent="0.65">
      <c r="A602" s="58" t="s">
        <v>144</v>
      </c>
      <c r="B602" s="59">
        <v>45901</v>
      </c>
      <c r="C602" s="60">
        <v>55368</v>
      </c>
      <c r="D602" s="60">
        <v>68415</v>
      </c>
      <c r="E602" s="60" t="str">
        <f>tbl_performance[[#This Row],[employee_id]]&amp;"-"&amp;TEXT(tbl_performance[[#This Row],[month]],"mm")</f>
        <v>EMP1055-09</v>
      </c>
      <c r="F602" s="60">
        <f>COUNTIF(tbl_performance[employee_month_key],tbl_performance[[#This Row],[employee_month_key]])</f>
        <v>1</v>
      </c>
      <c r="G602" s="61">
        <f>tbl_performance[[#This Row],[achieved]]/tbl_performance[[#This Row],[target]]</f>
        <v>1.2356415257910707</v>
      </c>
      <c r="H602" s="60" t="str" cm="1">
        <f t="array" ref="H60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03" spans="1:8" ht="19.8" x14ac:dyDescent="0.65">
      <c r="A603" s="58" t="s">
        <v>144</v>
      </c>
      <c r="B603" s="59">
        <v>45931</v>
      </c>
      <c r="C603" s="60">
        <v>56475</v>
      </c>
      <c r="D603" s="60">
        <v>57703</v>
      </c>
      <c r="E603" s="60" t="str">
        <f>tbl_performance[[#This Row],[employee_id]]&amp;"-"&amp;TEXT(tbl_performance[[#This Row],[month]],"mm")</f>
        <v>EMP1055-10</v>
      </c>
      <c r="F603" s="60">
        <f>COUNTIF(tbl_performance[employee_month_key],tbl_performance[[#This Row],[employee_month_key]])</f>
        <v>1</v>
      </c>
      <c r="G603" s="61">
        <f>tbl_performance[[#This Row],[achieved]]/tbl_performance[[#This Row],[target]]</f>
        <v>1.0217441345728198</v>
      </c>
      <c r="H603" s="60" t="str" cm="1">
        <f t="array" ref="H603">_xlfn.IFS(tbl_performance[[#This Row],[performance_pct]]&gt;=1.1,"Excellent",tbl_performance[[#This Row],[performance_pct]]&gt;=1,"Good",tbl_performance[[#This Row],[performance_pct]]&gt;=0.85,"Average",TRUE,"Poor")</f>
        <v>Good</v>
      </c>
    </row>
    <row r="604" spans="1:8" ht="19.8" x14ac:dyDescent="0.65">
      <c r="A604" s="58" t="s">
        <v>144</v>
      </c>
      <c r="B604" s="59">
        <v>45962</v>
      </c>
      <c r="C604" s="60">
        <v>55368</v>
      </c>
      <c r="D604" s="60">
        <v>60401</v>
      </c>
      <c r="E604" s="60" t="str">
        <f>tbl_performance[[#This Row],[employee_id]]&amp;"-"&amp;TEXT(tbl_performance[[#This Row],[month]],"mm")</f>
        <v>EMP1055-11</v>
      </c>
      <c r="F604" s="60">
        <f>COUNTIF(tbl_performance[employee_month_key],tbl_performance[[#This Row],[employee_month_key]])</f>
        <v>1</v>
      </c>
      <c r="G604" s="61">
        <f>tbl_performance[[#This Row],[achieved]]/tbl_performance[[#This Row],[target]]</f>
        <v>1.0909008813755239</v>
      </c>
      <c r="H604" s="60" t="str" cm="1">
        <f t="array" ref="H604">_xlfn.IFS(tbl_performance[[#This Row],[performance_pct]]&gt;=1.1,"Excellent",tbl_performance[[#This Row],[performance_pct]]&gt;=1,"Good",tbl_performance[[#This Row],[performance_pct]]&gt;=0.85,"Average",TRUE,"Poor")</f>
        <v>Good</v>
      </c>
    </row>
    <row r="605" spans="1:8" ht="19.8" x14ac:dyDescent="0.65">
      <c r="A605" s="58" t="s">
        <v>144</v>
      </c>
      <c r="B605" s="59">
        <v>45992</v>
      </c>
      <c r="C605" s="60">
        <v>47063</v>
      </c>
      <c r="D605" s="60">
        <v>48314</v>
      </c>
      <c r="E605" s="60" t="str">
        <f>tbl_performance[[#This Row],[employee_id]]&amp;"-"&amp;TEXT(tbl_performance[[#This Row],[month]],"mm")</f>
        <v>EMP1055-12</v>
      </c>
      <c r="F605" s="60">
        <f>COUNTIF(tbl_performance[employee_month_key],tbl_performance[[#This Row],[employee_month_key]])</f>
        <v>1</v>
      </c>
      <c r="G605" s="61">
        <f>tbl_performance[[#This Row],[achieved]]/tbl_performance[[#This Row],[target]]</f>
        <v>1.0265813909015575</v>
      </c>
      <c r="H605" s="60" t="str" cm="1">
        <f t="array" ref="H605">_xlfn.IFS(tbl_performance[[#This Row],[performance_pct]]&gt;=1.1,"Excellent",tbl_performance[[#This Row],[performance_pct]]&gt;=1,"Good",tbl_performance[[#This Row],[performance_pct]]&gt;=0.85,"Average",TRUE,"Poor")</f>
        <v>Good</v>
      </c>
    </row>
    <row r="606" spans="1:8" ht="19.8" x14ac:dyDescent="0.65">
      <c r="A606" s="58" t="s">
        <v>146</v>
      </c>
      <c r="B606" s="59">
        <v>45658</v>
      </c>
      <c r="C606" s="60">
        <v>170</v>
      </c>
      <c r="D606" s="60">
        <v>190</v>
      </c>
      <c r="E606" s="60" t="str">
        <f>tbl_performance[[#This Row],[employee_id]]&amp;"-"&amp;TEXT(tbl_performance[[#This Row],[month]],"mm")</f>
        <v>EMP1056-01</v>
      </c>
      <c r="F606" s="60">
        <f>COUNTIF(tbl_performance[employee_month_key],tbl_performance[[#This Row],[employee_month_key]])</f>
        <v>1</v>
      </c>
      <c r="G606" s="61">
        <f>tbl_performance[[#This Row],[achieved]]/tbl_performance[[#This Row],[target]]</f>
        <v>1.1176470588235294</v>
      </c>
      <c r="H606" s="60" t="str" cm="1">
        <f t="array" ref="H60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07" spans="1:8" ht="19.8" x14ac:dyDescent="0.65">
      <c r="A607" s="58" t="s">
        <v>146</v>
      </c>
      <c r="B607" s="59">
        <v>45689</v>
      </c>
      <c r="C607" s="60">
        <v>158</v>
      </c>
      <c r="D607" s="60">
        <v>181</v>
      </c>
      <c r="E607" s="60" t="str">
        <f>tbl_performance[[#This Row],[employee_id]]&amp;"-"&amp;TEXT(tbl_performance[[#This Row],[month]],"mm")</f>
        <v>EMP1056-02</v>
      </c>
      <c r="F607" s="60">
        <f>COUNTIF(tbl_performance[employee_month_key],tbl_performance[[#This Row],[employee_month_key]])</f>
        <v>1</v>
      </c>
      <c r="G607" s="61">
        <f>tbl_performance[[#This Row],[achieved]]/tbl_performance[[#This Row],[target]]</f>
        <v>1.1455696202531647</v>
      </c>
      <c r="H607" s="60" t="str" cm="1">
        <f t="array" ref="H60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08" spans="1:8" ht="19.8" x14ac:dyDescent="0.65">
      <c r="A608" s="58" t="s">
        <v>146</v>
      </c>
      <c r="B608" s="59">
        <v>45717</v>
      </c>
      <c r="C608" s="60">
        <v>173</v>
      </c>
      <c r="D608" s="60">
        <v>213</v>
      </c>
      <c r="E608" s="60" t="str">
        <f>tbl_performance[[#This Row],[employee_id]]&amp;"-"&amp;TEXT(tbl_performance[[#This Row],[month]],"mm")</f>
        <v>EMP1056-03</v>
      </c>
      <c r="F608" s="60">
        <f>COUNTIF(tbl_performance[employee_month_key],tbl_performance[[#This Row],[employee_month_key]])</f>
        <v>1</v>
      </c>
      <c r="G608" s="61">
        <f>tbl_performance[[#This Row],[achieved]]/tbl_performance[[#This Row],[target]]</f>
        <v>1.23121387283237</v>
      </c>
      <c r="H608" s="60" t="str" cm="1">
        <f t="array" ref="H60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09" spans="1:8" ht="19.8" x14ac:dyDescent="0.65">
      <c r="A609" s="58" t="s">
        <v>146</v>
      </c>
      <c r="B609" s="59">
        <v>45748</v>
      </c>
      <c r="C609" s="60">
        <v>170</v>
      </c>
      <c r="D609" s="60">
        <v>193</v>
      </c>
      <c r="E609" s="60" t="str">
        <f>tbl_performance[[#This Row],[employee_id]]&amp;"-"&amp;TEXT(tbl_performance[[#This Row],[month]],"mm")</f>
        <v>EMP1056-04</v>
      </c>
      <c r="F609" s="60">
        <f>COUNTIF(tbl_performance[employee_month_key],tbl_performance[[#This Row],[employee_month_key]])</f>
        <v>1</v>
      </c>
      <c r="G609" s="61">
        <f>tbl_performance[[#This Row],[achieved]]/tbl_performance[[#This Row],[target]]</f>
        <v>1.1352941176470588</v>
      </c>
      <c r="H609" s="60" t="str" cm="1">
        <f t="array" ref="H60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0" spans="1:8" ht="19.8" x14ac:dyDescent="0.65">
      <c r="A610" s="58" t="s">
        <v>146</v>
      </c>
      <c r="B610" s="59">
        <v>45778</v>
      </c>
      <c r="C610" s="60">
        <v>170</v>
      </c>
      <c r="D610" s="60">
        <v>201</v>
      </c>
      <c r="E610" s="60" t="str">
        <f>tbl_performance[[#This Row],[employee_id]]&amp;"-"&amp;TEXT(tbl_performance[[#This Row],[month]],"mm")</f>
        <v>EMP1056-05</v>
      </c>
      <c r="F610" s="60">
        <f>COUNTIF(tbl_performance[employee_month_key],tbl_performance[[#This Row],[employee_month_key]])</f>
        <v>1</v>
      </c>
      <c r="G610" s="61">
        <f>tbl_performance[[#This Row],[achieved]]/tbl_performance[[#This Row],[target]]</f>
        <v>1.1823529411764706</v>
      </c>
      <c r="H610" s="60" t="str" cm="1">
        <f t="array" ref="H61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1" spans="1:8" ht="19.8" x14ac:dyDescent="0.65">
      <c r="A611" s="58" t="s">
        <v>146</v>
      </c>
      <c r="B611" s="59">
        <v>45809</v>
      </c>
      <c r="C611" s="60">
        <v>167</v>
      </c>
      <c r="D611" s="60">
        <v>186</v>
      </c>
      <c r="E611" s="60" t="str">
        <f>tbl_performance[[#This Row],[employee_id]]&amp;"-"&amp;TEXT(tbl_performance[[#This Row],[month]],"mm")</f>
        <v>EMP1056-06</v>
      </c>
      <c r="F611" s="60">
        <f>COUNTIF(tbl_performance[employee_month_key],tbl_performance[[#This Row],[employee_month_key]])</f>
        <v>1</v>
      </c>
      <c r="G611" s="61">
        <f>tbl_performance[[#This Row],[achieved]]/tbl_performance[[#This Row],[target]]</f>
        <v>1.1137724550898203</v>
      </c>
      <c r="H611" s="60" t="str" cm="1">
        <f t="array" ref="H61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2" spans="1:8" ht="19.8" x14ac:dyDescent="0.65">
      <c r="A612" s="58" t="s">
        <v>146</v>
      </c>
      <c r="B612" s="59">
        <v>45839</v>
      </c>
      <c r="C612" s="60">
        <v>170</v>
      </c>
      <c r="D612" s="60">
        <v>193</v>
      </c>
      <c r="E612" s="60" t="str">
        <f>tbl_performance[[#This Row],[employee_id]]&amp;"-"&amp;TEXT(tbl_performance[[#This Row],[month]],"mm")</f>
        <v>EMP1056-07</v>
      </c>
      <c r="F612" s="60">
        <f>COUNTIF(tbl_performance[employee_month_key],tbl_performance[[#This Row],[employee_month_key]])</f>
        <v>1</v>
      </c>
      <c r="G612" s="61">
        <f>tbl_performance[[#This Row],[achieved]]/tbl_performance[[#This Row],[target]]</f>
        <v>1.1352941176470588</v>
      </c>
      <c r="H612" s="60" t="str" cm="1">
        <f t="array" ref="H61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3" spans="1:8" ht="19.8" x14ac:dyDescent="0.65">
      <c r="A613" s="58" t="s">
        <v>146</v>
      </c>
      <c r="B613" s="59">
        <v>45870</v>
      </c>
      <c r="C613" s="60">
        <v>165</v>
      </c>
      <c r="D613" s="60">
        <v>193</v>
      </c>
      <c r="E613" s="60" t="str">
        <f>tbl_performance[[#This Row],[employee_id]]&amp;"-"&amp;TEXT(tbl_performance[[#This Row],[month]],"mm")</f>
        <v>EMP1056-08</v>
      </c>
      <c r="F613" s="60">
        <f>COUNTIF(tbl_performance[employee_month_key],tbl_performance[[#This Row],[employee_month_key]])</f>
        <v>1</v>
      </c>
      <c r="G613" s="61">
        <f>tbl_performance[[#This Row],[achieved]]/tbl_performance[[#This Row],[target]]</f>
        <v>1.1696969696969697</v>
      </c>
      <c r="H613" s="60" t="str" cm="1">
        <f t="array" ref="H61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4" spans="1:8" ht="19.8" x14ac:dyDescent="0.65">
      <c r="A614" s="58" t="s">
        <v>146</v>
      </c>
      <c r="B614" s="59">
        <v>45901</v>
      </c>
      <c r="C614" s="60">
        <v>170</v>
      </c>
      <c r="D614" s="60">
        <v>190</v>
      </c>
      <c r="E614" s="60" t="str">
        <f>tbl_performance[[#This Row],[employee_id]]&amp;"-"&amp;TEXT(tbl_performance[[#This Row],[month]],"mm")</f>
        <v>EMP1056-09</v>
      </c>
      <c r="F614" s="60">
        <f>COUNTIF(tbl_performance[employee_month_key],tbl_performance[[#This Row],[employee_month_key]])</f>
        <v>1</v>
      </c>
      <c r="G614" s="61">
        <f>tbl_performance[[#This Row],[achieved]]/tbl_performance[[#This Row],[target]]</f>
        <v>1.1176470588235294</v>
      </c>
      <c r="H614" s="60" t="str" cm="1">
        <f t="array" ref="H61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5" spans="1:8" ht="19.8" x14ac:dyDescent="0.65">
      <c r="A615" s="58" t="s">
        <v>146</v>
      </c>
      <c r="B615" s="59">
        <v>45931</v>
      </c>
      <c r="C615" s="60">
        <v>173</v>
      </c>
      <c r="D615" s="60">
        <v>208</v>
      </c>
      <c r="E615" s="60" t="str">
        <f>tbl_performance[[#This Row],[employee_id]]&amp;"-"&amp;TEXT(tbl_performance[[#This Row],[month]],"mm")</f>
        <v>EMP1056-10</v>
      </c>
      <c r="F615" s="60">
        <f>COUNTIF(tbl_performance[employee_month_key],tbl_performance[[#This Row],[employee_month_key]])</f>
        <v>1</v>
      </c>
      <c r="G615" s="61">
        <f>tbl_performance[[#This Row],[achieved]]/tbl_performance[[#This Row],[target]]</f>
        <v>1.2023121387283238</v>
      </c>
      <c r="H615" s="60" t="str" cm="1">
        <f t="array" ref="H61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6" spans="1:8" ht="19.8" x14ac:dyDescent="0.65">
      <c r="A616" s="58" t="s">
        <v>146</v>
      </c>
      <c r="B616" s="59">
        <v>45962</v>
      </c>
      <c r="C616" s="60">
        <v>170</v>
      </c>
      <c r="D616" s="60">
        <v>198</v>
      </c>
      <c r="E616" s="60" t="str">
        <f>tbl_performance[[#This Row],[employee_id]]&amp;"-"&amp;TEXT(tbl_performance[[#This Row],[month]],"mm")</f>
        <v>EMP1056-11</v>
      </c>
      <c r="F616" s="60">
        <f>COUNTIF(tbl_performance[employee_month_key],tbl_performance[[#This Row],[employee_month_key]])</f>
        <v>1</v>
      </c>
      <c r="G616" s="61">
        <f>tbl_performance[[#This Row],[achieved]]/tbl_performance[[#This Row],[target]]</f>
        <v>1.1647058823529413</v>
      </c>
      <c r="H616" s="60" t="str" cm="1">
        <f t="array" ref="H61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17" spans="1:8" ht="19.8" x14ac:dyDescent="0.65">
      <c r="A617" s="58" t="s">
        <v>146</v>
      </c>
      <c r="B617" s="59">
        <v>45992</v>
      </c>
      <c r="C617" s="60">
        <v>144</v>
      </c>
      <c r="D617" s="60">
        <v>154</v>
      </c>
      <c r="E617" s="60" t="str">
        <f>tbl_performance[[#This Row],[employee_id]]&amp;"-"&amp;TEXT(tbl_performance[[#This Row],[month]],"mm")</f>
        <v>EMP1056-12</v>
      </c>
      <c r="F617" s="60">
        <f>COUNTIF(tbl_performance[employee_month_key],tbl_performance[[#This Row],[employee_month_key]])</f>
        <v>1</v>
      </c>
      <c r="G617" s="61">
        <f>tbl_performance[[#This Row],[achieved]]/tbl_performance[[#This Row],[target]]</f>
        <v>1.0694444444444444</v>
      </c>
      <c r="H617" s="60" t="str" cm="1">
        <f t="array" ref="H617">_xlfn.IFS(tbl_performance[[#This Row],[performance_pct]]&gt;=1.1,"Excellent",tbl_performance[[#This Row],[performance_pct]]&gt;=1,"Good",tbl_performance[[#This Row],[performance_pct]]&gt;=0.85,"Average",TRUE,"Poor")</f>
        <v>Good</v>
      </c>
    </row>
    <row r="618" spans="1:8" ht="19.8" x14ac:dyDescent="0.65">
      <c r="A618" s="58" t="s">
        <v>148</v>
      </c>
      <c r="B618" s="59">
        <v>45658</v>
      </c>
      <c r="C618" s="60">
        <v>20</v>
      </c>
      <c r="D618" s="60">
        <v>20</v>
      </c>
      <c r="E618" s="60" t="str">
        <f>tbl_performance[[#This Row],[employee_id]]&amp;"-"&amp;TEXT(tbl_performance[[#This Row],[month]],"mm")</f>
        <v>EMP1057-01</v>
      </c>
      <c r="F618" s="60">
        <f>COUNTIF(tbl_performance[employee_month_key],tbl_performance[[#This Row],[employee_month_key]])</f>
        <v>1</v>
      </c>
      <c r="G618" s="61">
        <f>tbl_performance[[#This Row],[achieved]]/tbl_performance[[#This Row],[target]]</f>
        <v>1</v>
      </c>
      <c r="H618" s="60" t="str" cm="1">
        <f t="array" ref="H618">_xlfn.IFS(tbl_performance[[#This Row],[performance_pct]]&gt;=1.1,"Excellent",tbl_performance[[#This Row],[performance_pct]]&gt;=1,"Good",tbl_performance[[#This Row],[performance_pct]]&gt;=0.85,"Average",TRUE,"Poor")</f>
        <v>Good</v>
      </c>
    </row>
    <row r="619" spans="1:8" ht="19.8" x14ac:dyDescent="0.65">
      <c r="A619" s="58" t="s">
        <v>148</v>
      </c>
      <c r="B619" s="59">
        <v>45689</v>
      </c>
      <c r="C619" s="60">
        <v>18</v>
      </c>
      <c r="D619" s="60">
        <v>19</v>
      </c>
      <c r="E619" s="60" t="str">
        <f>tbl_performance[[#This Row],[employee_id]]&amp;"-"&amp;TEXT(tbl_performance[[#This Row],[month]],"mm")</f>
        <v>EMP1057-02</v>
      </c>
      <c r="F619" s="60">
        <f>COUNTIF(tbl_performance[employee_month_key],tbl_performance[[#This Row],[employee_month_key]])</f>
        <v>1</v>
      </c>
      <c r="G619" s="61">
        <f>tbl_performance[[#This Row],[achieved]]/tbl_performance[[#This Row],[target]]</f>
        <v>1.0555555555555556</v>
      </c>
      <c r="H619" s="60" t="str" cm="1">
        <f t="array" ref="H619">_xlfn.IFS(tbl_performance[[#This Row],[performance_pct]]&gt;=1.1,"Excellent",tbl_performance[[#This Row],[performance_pct]]&gt;=1,"Good",tbl_performance[[#This Row],[performance_pct]]&gt;=0.85,"Average",TRUE,"Poor")</f>
        <v>Good</v>
      </c>
    </row>
    <row r="620" spans="1:8" ht="19.8" x14ac:dyDescent="0.65">
      <c r="A620" s="58" t="s">
        <v>148</v>
      </c>
      <c r="B620" s="59">
        <v>45717</v>
      </c>
      <c r="C620" s="60">
        <v>20</v>
      </c>
      <c r="D620" s="60">
        <v>19</v>
      </c>
      <c r="E620" s="60" t="str">
        <f>tbl_performance[[#This Row],[employee_id]]&amp;"-"&amp;TEXT(tbl_performance[[#This Row],[month]],"mm")</f>
        <v>EMP1057-03</v>
      </c>
      <c r="F620" s="60">
        <f>COUNTIF(tbl_performance[employee_month_key],tbl_performance[[#This Row],[employee_month_key]])</f>
        <v>1</v>
      </c>
      <c r="G620" s="61">
        <f>tbl_performance[[#This Row],[achieved]]/tbl_performance[[#This Row],[target]]</f>
        <v>0.95</v>
      </c>
      <c r="H620" s="60" t="str" cm="1">
        <f t="array" ref="H62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21" spans="1:8" ht="19.8" x14ac:dyDescent="0.65">
      <c r="A621" s="58" t="s">
        <v>148</v>
      </c>
      <c r="B621" s="59">
        <v>45748</v>
      </c>
      <c r="C621" s="60">
        <v>20</v>
      </c>
      <c r="D621" s="60">
        <v>20</v>
      </c>
      <c r="E621" s="60" t="str">
        <f>tbl_performance[[#This Row],[employee_id]]&amp;"-"&amp;TEXT(tbl_performance[[#This Row],[month]],"mm")</f>
        <v>EMP1057-04</v>
      </c>
      <c r="F621" s="60">
        <f>COUNTIF(tbl_performance[employee_month_key],tbl_performance[[#This Row],[employee_month_key]])</f>
        <v>1</v>
      </c>
      <c r="G621" s="61">
        <f>tbl_performance[[#This Row],[achieved]]/tbl_performance[[#This Row],[target]]</f>
        <v>1</v>
      </c>
      <c r="H621" s="60" t="str" cm="1">
        <f t="array" ref="H621">_xlfn.IFS(tbl_performance[[#This Row],[performance_pct]]&gt;=1.1,"Excellent",tbl_performance[[#This Row],[performance_pct]]&gt;=1,"Good",tbl_performance[[#This Row],[performance_pct]]&gt;=0.85,"Average",TRUE,"Poor")</f>
        <v>Good</v>
      </c>
    </row>
    <row r="622" spans="1:8" ht="19.8" x14ac:dyDescent="0.65">
      <c r="A622" s="58" t="s">
        <v>148</v>
      </c>
      <c r="B622" s="59">
        <v>45778</v>
      </c>
      <c r="C622" s="60">
        <v>20</v>
      </c>
      <c r="D622" s="60">
        <v>20</v>
      </c>
      <c r="E622" s="60" t="str">
        <f>tbl_performance[[#This Row],[employee_id]]&amp;"-"&amp;TEXT(tbl_performance[[#This Row],[month]],"mm")</f>
        <v>EMP1057-05</v>
      </c>
      <c r="F622" s="60">
        <f>COUNTIF(tbl_performance[employee_month_key],tbl_performance[[#This Row],[employee_month_key]])</f>
        <v>1</v>
      </c>
      <c r="G622" s="61">
        <f>tbl_performance[[#This Row],[achieved]]/tbl_performance[[#This Row],[target]]</f>
        <v>1</v>
      </c>
      <c r="H622" s="60" t="str" cm="1">
        <f t="array" ref="H622">_xlfn.IFS(tbl_performance[[#This Row],[performance_pct]]&gt;=1.1,"Excellent",tbl_performance[[#This Row],[performance_pct]]&gt;=1,"Good",tbl_performance[[#This Row],[performance_pct]]&gt;=0.85,"Average",TRUE,"Poor")</f>
        <v>Good</v>
      </c>
    </row>
    <row r="623" spans="1:8" ht="19.8" x14ac:dyDescent="0.65">
      <c r="A623" s="58" t="s">
        <v>148</v>
      </c>
      <c r="B623" s="59">
        <v>45809</v>
      </c>
      <c r="C623" s="60">
        <v>19</v>
      </c>
      <c r="D623" s="60">
        <v>19</v>
      </c>
      <c r="E623" s="60" t="str">
        <f>tbl_performance[[#This Row],[employee_id]]&amp;"-"&amp;TEXT(tbl_performance[[#This Row],[month]],"mm")</f>
        <v>EMP1057-06</v>
      </c>
      <c r="F623" s="60">
        <f>COUNTIF(tbl_performance[employee_month_key],tbl_performance[[#This Row],[employee_month_key]])</f>
        <v>1</v>
      </c>
      <c r="G623" s="61">
        <f>tbl_performance[[#This Row],[achieved]]/tbl_performance[[#This Row],[target]]</f>
        <v>1</v>
      </c>
      <c r="H623" s="60" t="str" cm="1">
        <f t="array" ref="H623">_xlfn.IFS(tbl_performance[[#This Row],[performance_pct]]&gt;=1.1,"Excellent",tbl_performance[[#This Row],[performance_pct]]&gt;=1,"Good",tbl_performance[[#This Row],[performance_pct]]&gt;=0.85,"Average",TRUE,"Poor")</f>
        <v>Good</v>
      </c>
    </row>
    <row r="624" spans="1:8" ht="19.8" x14ac:dyDescent="0.65">
      <c r="A624" s="58" t="s">
        <v>148</v>
      </c>
      <c r="B624" s="59">
        <v>45839</v>
      </c>
      <c r="C624" s="60">
        <v>20</v>
      </c>
      <c r="D624" s="60">
        <v>21</v>
      </c>
      <c r="E624" s="60" t="str">
        <f>tbl_performance[[#This Row],[employee_id]]&amp;"-"&amp;TEXT(tbl_performance[[#This Row],[month]],"mm")</f>
        <v>EMP1057-07</v>
      </c>
      <c r="F624" s="60">
        <f>COUNTIF(tbl_performance[employee_month_key],tbl_performance[[#This Row],[employee_month_key]])</f>
        <v>1</v>
      </c>
      <c r="G624" s="61">
        <f>tbl_performance[[#This Row],[achieved]]/tbl_performance[[#This Row],[target]]</f>
        <v>1.05</v>
      </c>
      <c r="H624" s="60" t="str" cm="1">
        <f t="array" ref="H624">_xlfn.IFS(tbl_performance[[#This Row],[performance_pct]]&gt;=1.1,"Excellent",tbl_performance[[#This Row],[performance_pct]]&gt;=1,"Good",tbl_performance[[#This Row],[performance_pct]]&gt;=0.85,"Average",TRUE,"Poor")</f>
        <v>Good</v>
      </c>
    </row>
    <row r="625" spans="1:8" ht="19.8" x14ac:dyDescent="0.65">
      <c r="A625" s="58" t="s">
        <v>148</v>
      </c>
      <c r="B625" s="59">
        <v>45870</v>
      </c>
      <c r="C625" s="60">
        <v>19</v>
      </c>
      <c r="D625" s="60">
        <v>19</v>
      </c>
      <c r="E625" s="60" t="str">
        <f>tbl_performance[[#This Row],[employee_id]]&amp;"-"&amp;TEXT(tbl_performance[[#This Row],[month]],"mm")</f>
        <v>EMP1057-08</v>
      </c>
      <c r="F625" s="60">
        <f>COUNTIF(tbl_performance[employee_month_key],tbl_performance[[#This Row],[employee_month_key]])</f>
        <v>1</v>
      </c>
      <c r="G625" s="61">
        <f>tbl_performance[[#This Row],[achieved]]/tbl_performance[[#This Row],[target]]</f>
        <v>1</v>
      </c>
      <c r="H625" s="60" t="str" cm="1">
        <f t="array" ref="H625">_xlfn.IFS(tbl_performance[[#This Row],[performance_pct]]&gt;=1.1,"Excellent",tbl_performance[[#This Row],[performance_pct]]&gt;=1,"Good",tbl_performance[[#This Row],[performance_pct]]&gt;=0.85,"Average",TRUE,"Poor")</f>
        <v>Good</v>
      </c>
    </row>
    <row r="626" spans="1:8" ht="19.8" x14ac:dyDescent="0.65">
      <c r="A626" s="58" t="s">
        <v>148</v>
      </c>
      <c r="B626" s="59">
        <v>45901</v>
      </c>
      <c r="C626" s="60">
        <v>20</v>
      </c>
      <c r="D626" s="60">
        <v>19</v>
      </c>
      <c r="E626" s="60" t="str">
        <f>tbl_performance[[#This Row],[employee_id]]&amp;"-"&amp;TEXT(tbl_performance[[#This Row],[month]],"mm")</f>
        <v>EMP1057-09</v>
      </c>
      <c r="F626" s="60">
        <f>COUNTIF(tbl_performance[employee_month_key],tbl_performance[[#This Row],[employee_month_key]])</f>
        <v>1</v>
      </c>
      <c r="G626" s="61">
        <f>tbl_performance[[#This Row],[achieved]]/tbl_performance[[#This Row],[target]]</f>
        <v>0.95</v>
      </c>
      <c r="H626" s="60" t="str" cm="1">
        <f t="array" ref="H6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27" spans="1:8" ht="19.8" x14ac:dyDescent="0.65">
      <c r="A627" s="58" t="s">
        <v>148</v>
      </c>
      <c r="B627" s="59">
        <v>45931</v>
      </c>
      <c r="C627" s="60">
        <v>20</v>
      </c>
      <c r="D627" s="60">
        <v>21</v>
      </c>
      <c r="E627" s="60" t="str">
        <f>tbl_performance[[#This Row],[employee_id]]&amp;"-"&amp;TEXT(tbl_performance[[#This Row],[month]],"mm")</f>
        <v>EMP1057-10</v>
      </c>
      <c r="F627" s="60">
        <f>COUNTIF(tbl_performance[employee_month_key],tbl_performance[[#This Row],[employee_month_key]])</f>
        <v>1</v>
      </c>
      <c r="G627" s="61">
        <f>tbl_performance[[#This Row],[achieved]]/tbl_performance[[#This Row],[target]]</f>
        <v>1.05</v>
      </c>
      <c r="H627" s="60" t="str" cm="1">
        <f t="array" ref="H627">_xlfn.IFS(tbl_performance[[#This Row],[performance_pct]]&gt;=1.1,"Excellent",tbl_performance[[#This Row],[performance_pct]]&gt;=1,"Good",tbl_performance[[#This Row],[performance_pct]]&gt;=0.85,"Average",TRUE,"Poor")</f>
        <v>Good</v>
      </c>
    </row>
    <row r="628" spans="1:8" ht="19.8" x14ac:dyDescent="0.65">
      <c r="A628" s="58" t="s">
        <v>148</v>
      </c>
      <c r="B628" s="59">
        <v>45962</v>
      </c>
      <c r="C628" s="60">
        <v>20</v>
      </c>
      <c r="D628" s="60">
        <v>21</v>
      </c>
      <c r="E628" s="60" t="str">
        <f>tbl_performance[[#This Row],[employee_id]]&amp;"-"&amp;TEXT(tbl_performance[[#This Row],[month]],"mm")</f>
        <v>EMP1057-11</v>
      </c>
      <c r="F628" s="60">
        <f>COUNTIF(tbl_performance[employee_month_key],tbl_performance[[#This Row],[employee_month_key]])</f>
        <v>1</v>
      </c>
      <c r="G628" s="61">
        <f>tbl_performance[[#This Row],[achieved]]/tbl_performance[[#This Row],[target]]</f>
        <v>1.05</v>
      </c>
      <c r="H628" s="60" t="str" cm="1">
        <f t="array" ref="H628">_xlfn.IFS(tbl_performance[[#This Row],[performance_pct]]&gt;=1.1,"Excellent",tbl_performance[[#This Row],[performance_pct]]&gt;=1,"Good",tbl_performance[[#This Row],[performance_pct]]&gt;=0.85,"Average",TRUE,"Poor")</f>
        <v>Good</v>
      </c>
    </row>
    <row r="629" spans="1:8" ht="19.8" x14ac:dyDescent="0.65">
      <c r="A629" s="58" t="s">
        <v>148</v>
      </c>
      <c r="B629" s="59">
        <v>45992</v>
      </c>
      <c r="C629" s="60">
        <v>17</v>
      </c>
      <c r="D629" s="60">
        <v>18</v>
      </c>
      <c r="E629" s="60" t="str">
        <f>tbl_performance[[#This Row],[employee_id]]&amp;"-"&amp;TEXT(tbl_performance[[#This Row],[month]],"mm")</f>
        <v>EMP1057-12</v>
      </c>
      <c r="F629" s="60">
        <f>COUNTIF(tbl_performance[employee_month_key],tbl_performance[[#This Row],[employee_month_key]])</f>
        <v>1</v>
      </c>
      <c r="G629" s="61">
        <f>tbl_performance[[#This Row],[achieved]]/tbl_performance[[#This Row],[target]]</f>
        <v>1.0588235294117647</v>
      </c>
      <c r="H629" s="60" t="str" cm="1">
        <f t="array" ref="H629">_xlfn.IFS(tbl_performance[[#This Row],[performance_pct]]&gt;=1.1,"Excellent",tbl_performance[[#This Row],[performance_pct]]&gt;=1,"Good",tbl_performance[[#This Row],[performance_pct]]&gt;=0.85,"Average",TRUE,"Poor")</f>
        <v>Good</v>
      </c>
    </row>
    <row r="630" spans="1:8" ht="19.8" x14ac:dyDescent="0.65">
      <c r="A630" s="58" t="s">
        <v>150</v>
      </c>
      <c r="B630" s="59">
        <v>45839</v>
      </c>
      <c r="C630" s="60">
        <v>18</v>
      </c>
      <c r="D630" s="60">
        <v>19</v>
      </c>
      <c r="E630" s="60" t="str">
        <f>tbl_performance[[#This Row],[employee_id]]&amp;"-"&amp;TEXT(tbl_performance[[#This Row],[month]],"mm")</f>
        <v>EMP1058-07</v>
      </c>
      <c r="F630" s="60">
        <f>COUNTIF(tbl_performance[employee_month_key],tbl_performance[[#This Row],[employee_month_key]])</f>
        <v>1</v>
      </c>
      <c r="G630" s="61">
        <f>tbl_performance[[#This Row],[achieved]]/tbl_performance[[#This Row],[target]]</f>
        <v>1.0555555555555556</v>
      </c>
      <c r="H630" s="60" t="str" cm="1">
        <f t="array" ref="H630">_xlfn.IFS(tbl_performance[[#This Row],[performance_pct]]&gt;=1.1,"Excellent",tbl_performance[[#This Row],[performance_pct]]&gt;=1,"Good",tbl_performance[[#This Row],[performance_pct]]&gt;=0.85,"Average",TRUE,"Poor")</f>
        <v>Good</v>
      </c>
    </row>
    <row r="631" spans="1:8" ht="19.8" x14ac:dyDescent="0.65">
      <c r="A631" s="58" t="s">
        <v>150</v>
      </c>
      <c r="B631" s="59">
        <v>45870</v>
      </c>
      <c r="C631" s="60">
        <v>18</v>
      </c>
      <c r="D631" s="60">
        <v>19</v>
      </c>
      <c r="E631" s="60" t="str">
        <f>tbl_performance[[#This Row],[employee_id]]&amp;"-"&amp;TEXT(tbl_performance[[#This Row],[month]],"mm")</f>
        <v>EMP1058-08</v>
      </c>
      <c r="F631" s="60">
        <f>COUNTIF(tbl_performance[employee_month_key],tbl_performance[[#This Row],[employee_month_key]])</f>
        <v>1</v>
      </c>
      <c r="G631" s="61">
        <f>tbl_performance[[#This Row],[achieved]]/tbl_performance[[#This Row],[target]]</f>
        <v>1.0555555555555556</v>
      </c>
      <c r="H631" s="60" t="str" cm="1">
        <f t="array" ref="H631">_xlfn.IFS(tbl_performance[[#This Row],[performance_pct]]&gt;=1.1,"Excellent",tbl_performance[[#This Row],[performance_pct]]&gt;=1,"Good",tbl_performance[[#This Row],[performance_pct]]&gt;=0.85,"Average",TRUE,"Poor")</f>
        <v>Good</v>
      </c>
    </row>
    <row r="632" spans="1:8" ht="19.8" x14ac:dyDescent="0.65">
      <c r="A632" s="58" t="s">
        <v>150</v>
      </c>
      <c r="B632" s="59">
        <v>45901</v>
      </c>
      <c r="C632" s="60">
        <v>18</v>
      </c>
      <c r="D632" s="60">
        <v>18</v>
      </c>
      <c r="E632" s="60" t="str">
        <f>tbl_performance[[#This Row],[employee_id]]&amp;"-"&amp;TEXT(tbl_performance[[#This Row],[month]],"mm")</f>
        <v>EMP1058-09</v>
      </c>
      <c r="F632" s="60">
        <f>COUNTIF(tbl_performance[employee_month_key],tbl_performance[[#This Row],[employee_month_key]])</f>
        <v>1</v>
      </c>
      <c r="G632" s="61">
        <f>tbl_performance[[#This Row],[achieved]]/tbl_performance[[#This Row],[target]]</f>
        <v>1</v>
      </c>
      <c r="H632" s="60" t="str" cm="1">
        <f t="array" ref="H632">_xlfn.IFS(tbl_performance[[#This Row],[performance_pct]]&gt;=1.1,"Excellent",tbl_performance[[#This Row],[performance_pct]]&gt;=1,"Good",tbl_performance[[#This Row],[performance_pct]]&gt;=0.85,"Average",TRUE,"Poor")</f>
        <v>Good</v>
      </c>
    </row>
    <row r="633" spans="1:8" ht="19.8" x14ac:dyDescent="0.65">
      <c r="A633" s="58" t="s">
        <v>150</v>
      </c>
      <c r="B633" s="59">
        <v>45931</v>
      </c>
      <c r="C633" s="60">
        <v>19</v>
      </c>
      <c r="D633" s="60">
        <v>19</v>
      </c>
      <c r="E633" s="60" t="str">
        <f>tbl_performance[[#This Row],[employee_id]]&amp;"-"&amp;TEXT(tbl_performance[[#This Row],[month]],"mm")</f>
        <v>EMP1058-10</v>
      </c>
      <c r="F633" s="60">
        <f>COUNTIF(tbl_performance[employee_month_key],tbl_performance[[#This Row],[employee_month_key]])</f>
        <v>1</v>
      </c>
      <c r="G633" s="61">
        <f>tbl_performance[[#This Row],[achieved]]/tbl_performance[[#This Row],[target]]</f>
        <v>1</v>
      </c>
      <c r="H633" s="60" t="str" cm="1">
        <f t="array" ref="H633">_xlfn.IFS(tbl_performance[[#This Row],[performance_pct]]&gt;=1.1,"Excellent",tbl_performance[[#This Row],[performance_pct]]&gt;=1,"Good",tbl_performance[[#This Row],[performance_pct]]&gt;=0.85,"Average",TRUE,"Poor")</f>
        <v>Good</v>
      </c>
    </row>
    <row r="634" spans="1:8" ht="19.8" x14ac:dyDescent="0.65">
      <c r="A634" s="58" t="s">
        <v>150</v>
      </c>
      <c r="B634" s="59">
        <v>45962</v>
      </c>
      <c r="C634" s="60">
        <v>18</v>
      </c>
      <c r="D634" s="60">
        <v>19</v>
      </c>
      <c r="E634" s="60" t="str">
        <f>tbl_performance[[#This Row],[employee_id]]&amp;"-"&amp;TEXT(tbl_performance[[#This Row],[month]],"mm")</f>
        <v>EMP1058-11</v>
      </c>
      <c r="F634" s="60">
        <f>COUNTIF(tbl_performance[employee_month_key],tbl_performance[[#This Row],[employee_month_key]])</f>
        <v>1</v>
      </c>
      <c r="G634" s="61">
        <f>tbl_performance[[#This Row],[achieved]]/tbl_performance[[#This Row],[target]]</f>
        <v>1.0555555555555556</v>
      </c>
      <c r="H634" s="60" t="str" cm="1">
        <f t="array" ref="H634">_xlfn.IFS(tbl_performance[[#This Row],[performance_pct]]&gt;=1.1,"Excellent",tbl_performance[[#This Row],[performance_pct]]&gt;=1,"Good",tbl_performance[[#This Row],[performance_pct]]&gt;=0.85,"Average",TRUE,"Poor")</f>
        <v>Good</v>
      </c>
    </row>
    <row r="635" spans="1:8" ht="19.8" x14ac:dyDescent="0.65">
      <c r="A635" s="58" t="s">
        <v>150</v>
      </c>
      <c r="B635" s="59">
        <v>45992</v>
      </c>
      <c r="C635" s="60">
        <v>16</v>
      </c>
      <c r="D635" s="60">
        <v>16</v>
      </c>
      <c r="E635" s="60" t="str">
        <f>tbl_performance[[#This Row],[employee_id]]&amp;"-"&amp;TEXT(tbl_performance[[#This Row],[month]],"mm")</f>
        <v>EMP1058-12</v>
      </c>
      <c r="F635" s="60">
        <f>COUNTIF(tbl_performance[employee_month_key],tbl_performance[[#This Row],[employee_month_key]])</f>
        <v>1</v>
      </c>
      <c r="G635" s="61">
        <f>tbl_performance[[#This Row],[achieved]]/tbl_performance[[#This Row],[target]]</f>
        <v>1</v>
      </c>
      <c r="H635" s="60" t="str" cm="1">
        <f t="array" ref="H635">_xlfn.IFS(tbl_performance[[#This Row],[performance_pct]]&gt;=1.1,"Excellent",tbl_performance[[#This Row],[performance_pct]]&gt;=1,"Good",tbl_performance[[#This Row],[performance_pct]]&gt;=0.85,"Average",TRUE,"Poor")</f>
        <v>Good</v>
      </c>
    </row>
    <row r="636" spans="1:8" ht="19.8" x14ac:dyDescent="0.65">
      <c r="A636" s="58" t="s">
        <v>152</v>
      </c>
      <c r="B636" s="59">
        <v>45658</v>
      </c>
      <c r="C636" s="60">
        <v>39</v>
      </c>
      <c r="D636" s="60">
        <v>40</v>
      </c>
      <c r="E636" s="60" t="str">
        <f>tbl_performance[[#This Row],[employee_id]]&amp;"-"&amp;TEXT(tbl_performance[[#This Row],[month]],"mm")</f>
        <v>EMP1059-01</v>
      </c>
      <c r="F636" s="60">
        <f>COUNTIF(tbl_performance[employee_month_key],tbl_performance[[#This Row],[employee_month_key]])</f>
        <v>1</v>
      </c>
      <c r="G636" s="61">
        <f>tbl_performance[[#This Row],[achieved]]/tbl_performance[[#This Row],[target]]</f>
        <v>1.0256410256410255</v>
      </c>
      <c r="H636" s="60" t="str" cm="1">
        <f t="array" ref="H636">_xlfn.IFS(tbl_performance[[#This Row],[performance_pct]]&gt;=1.1,"Excellent",tbl_performance[[#This Row],[performance_pct]]&gt;=1,"Good",tbl_performance[[#This Row],[performance_pct]]&gt;=0.85,"Average",TRUE,"Poor")</f>
        <v>Good</v>
      </c>
    </row>
    <row r="637" spans="1:8" ht="19.8" x14ac:dyDescent="0.65">
      <c r="A637" s="58" t="s">
        <v>152</v>
      </c>
      <c r="B637" s="59">
        <v>45689</v>
      </c>
      <c r="C637" s="60">
        <v>37</v>
      </c>
      <c r="D637" s="60">
        <v>39</v>
      </c>
      <c r="E637" s="60" t="str">
        <f>tbl_performance[[#This Row],[employee_id]]&amp;"-"&amp;TEXT(tbl_performance[[#This Row],[month]],"mm")</f>
        <v>EMP1059-02</v>
      </c>
      <c r="F637" s="60">
        <f>COUNTIF(tbl_performance[employee_month_key],tbl_performance[[#This Row],[employee_month_key]])</f>
        <v>1</v>
      </c>
      <c r="G637" s="61">
        <f>tbl_performance[[#This Row],[achieved]]/tbl_performance[[#This Row],[target]]</f>
        <v>1.0540540540540539</v>
      </c>
      <c r="H637" s="60" t="str" cm="1">
        <f t="array" ref="H637">_xlfn.IFS(tbl_performance[[#This Row],[performance_pct]]&gt;=1.1,"Excellent",tbl_performance[[#This Row],[performance_pct]]&gt;=1,"Good",tbl_performance[[#This Row],[performance_pct]]&gt;=0.85,"Average",TRUE,"Poor")</f>
        <v>Good</v>
      </c>
    </row>
    <row r="638" spans="1:8" ht="19.8" x14ac:dyDescent="0.65">
      <c r="A638" s="58" t="s">
        <v>152</v>
      </c>
      <c r="B638" s="59">
        <v>45717</v>
      </c>
      <c r="C638" s="60">
        <v>40</v>
      </c>
      <c r="D638" s="60">
        <v>45</v>
      </c>
      <c r="E638" s="60" t="str">
        <f>tbl_performance[[#This Row],[employee_id]]&amp;"-"&amp;TEXT(tbl_performance[[#This Row],[month]],"mm")</f>
        <v>EMP1059-03</v>
      </c>
      <c r="F638" s="60">
        <f>COUNTIF(tbl_performance[employee_month_key],tbl_performance[[#This Row],[employee_month_key]])</f>
        <v>1</v>
      </c>
      <c r="G638" s="61">
        <f>tbl_performance[[#This Row],[achieved]]/tbl_performance[[#This Row],[target]]</f>
        <v>1.125</v>
      </c>
      <c r="H638" s="60" t="str" cm="1">
        <f t="array" ref="H6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39" spans="1:8" ht="19.8" x14ac:dyDescent="0.65">
      <c r="A639" s="58" t="s">
        <v>152</v>
      </c>
      <c r="B639" s="59">
        <v>45748</v>
      </c>
      <c r="C639" s="60">
        <v>39</v>
      </c>
      <c r="D639" s="60">
        <v>42</v>
      </c>
      <c r="E639" s="60" t="str">
        <f>tbl_performance[[#This Row],[employee_id]]&amp;"-"&amp;TEXT(tbl_performance[[#This Row],[month]],"mm")</f>
        <v>EMP1059-04</v>
      </c>
      <c r="F639" s="60">
        <f>COUNTIF(tbl_performance[employee_month_key],tbl_performance[[#This Row],[employee_month_key]])</f>
        <v>1</v>
      </c>
      <c r="G639" s="61">
        <f>tbl_performance[[#This Row],[achieved]]/tbl_performance[[#This Row],[target]]</f>
        <v>1.0769230769230769</v>
      </c>
      <c r="H639" s="60" t="str" cm="1">
        <f t="array" ref="H639">_xlfn.IFS(tbl_performance[[#This Row],[performance_pct]]&gt;=1.1,"Excellent",tbl_performance[[#This Row],[performance_pct]]&gt;=1,"Good",tbl_performance[[#This Row],[performance_pct]]&gt;=0.85,"Average",TRUE,"Poor")</f>
        <v>Good</v>
      </c>
    </row>
    <row r="640" spans="1:8" ht="19.8" x14ac:dyDescent="0.65">
      <c r="A640" s="58" t="s">
        <v>152</v>
      </c>
      <c r="B640" s="59">
        <v>45778</v>
      </c>
      <c r="C640" s="60">
        <v>39</v>
      </c>
      <c r="D640" s="60">
        <v>43</v>
      </c>
      <c r="E640" s="60" t="str">
        <f>tbl_performance[[#This Row],[employee_id]]&amp;"-"&amp;TEXT(tbl_performance[[#This Row],[month]],"mm")</f>
        <v>EMP1059-05</v>
      </c>
      <c r="F640" s="60">
        <f>COUNTIF(tbl_performance[employee_month_key],tbl_performance[[#This Row],[employee_month_key]])</f>
        <v>1</v>
      </c>
      <c r="G640" s="61">
        <f>tbl_performance[[#This Row],[achieved]]/tbl_performance[[#This Row],[target]]</f>
        <v>1.1025641025641026</v>
      </c>
      <c r="H640" s="60" t="str" cm="1">
        <f t="array" ref="H64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41" spans="1:8" ht="19.8" x14ac:dyDescent="0.65">
      <c r="A641" s="58" t="s">
        <v>152</v>
      </c>
      <c r="B641" s="59">
        <v>45809</v>
      </c>
      <c r="C641" s="60">
        <v>39</v>
      </c>
      <c r="D641" s="60">
        <v>42</v>
      </c>
      <c r="E641" s="60" t="str">
        <f>tbl_performance[[#This Row],[employee_id]]&amp;"-"&amp;TEXT(tbl_performance[[#This Row],[month]],"mm")</f>
        <v>EMP1059-06</v>
      </c>
      <c r="F641" s="60">
        <f>COUNTIF(tbl_performance[employee_month_key],tbl_performance[[#This Row],[employee_month_key]])</f>
        <v>1</v>
      </c>
      <c r="G641" s="61">
        <f>tbl_performance[[#This Row],[achieved]]/tbl_performance[[#This Row],[target]]</f>
        <v>1.0769230769230769</v>
      </c>
      <c r="H641" s="60" t="str" cm="1">
        <f t="array" ref="H641">_xlfn.IFS(tbl_performance[[#This Row],[performance_pct]]&gt;=1.1,"Excellent",tbl_performance[[#This Row],[performance_pct]]&gt;=1,"Good",tbl_performance[[#This Row],[performance_pct]]&gt;=0.85,"Average",TRUE,"Poor")</f>
        <v>Good</v>
      </c>
    </row>
    <row r="642" spans="1:8" ht="19.8" x14ac:dyDescent="0.65">
      <c r="A642" s="58" t="s">
        <v>152</v>
      </c>
      <c r="B642" s="59">
        <v>45839</v>
      </c>
      <c r="C642" s="60">
        <v>39</v>
      </c>
      <c r="D642" s="60">
        <v>42</v>
      </c>
      <c r="E642" s="60" t="str">
        <f>tbl_performance[[#This Row],[employee_id]]&amp;"-"&amp;TEXT(tbl_performance[[#This Row],[month]],"mm")</f>
        <v>EMP1059-07</v>
      </c>
      <c r="F642" s="60">
        <f>COUNTIF(tbl_performance[employee_month_key],tbl_performance[[#This Row],[employee_month_key]])</f>
        <v>1</v>
      </c>
      <c r="G642" s="61">
        <f>tbl_performance[[#This Row],[achieved]]/tbl_performance[[#This Row],[target]]</f>
        <v>1.0769230769230769</v>
      </c>
      <c r="H642" s="60" t="str" cm="1">
        <f t="array" ref="H642">_xlfn.IFS(tbl_performance[[#This Row],[performance_pct]]&gt;=1.1,"Excellent",tbl_performance[[#This Row],[performance_pct]]&gt;=1,"Good",tbl_performance[[#This Row],[performance_pct]]&gt;=0.85,"Average",TRUE,"Poor")</f>
        <v>Good</v>
      </c>
    </row>
    <row r="643" spans="1:8" ht="19.8" x14ac:dyDescent="0.65">
      <c r="A643" s="58" t="s">
        <v>152</v>
      </c>
      <c r="B643" s="59">
        <v>45870</v>
      </c>
      <c r="C643" s="60">
        <v>38</v>
      </c>
      <c r="D643" s="60">
        <v>41</v>
      </c>
      <c r="E643" s="60" t="str">
        <f>tbl_performance[[#This Row],[employee_id]]&amp;"-"&amp;TEXT(tbl_performance[[#This Row],[month]],"mm")</f>
        <v>EMP1059-08</v>
      </c>
      <c r="F643" s="60">
        <f>COUNTIF(tbl_performance[employee_month_key],tbl_performance[[#This Row],[employee_month_key]])</f>
        <v>1</v>
      </c>
      <c r="G643" s="61">
        <f>tbl_performance[[#This Row],[achieved]]/tbl_performance[[#This Row],[target]]</f>
        <v>1.0789473684210527</v>
      </c>
      <c r="H643" s="60" t="str" cm="1">
        <f t="array" ref="H643">_xlfn.IFS(tbl_performance[[#This Row],[performance_pct]]&gt;=1.1,"Excellent",tbl_performance[[#This Row],[performance_pct]]&gt;=1,"Good",tbl_performance[[#This Row],[performance_pct]]&gt;=0.85,"Average",TRUE,"Poor")</f>
        <v>Good</v>
      </c>
    </row>
    <row r="644" spans="1:8" ht="19.8" x14ac:dyDescent="0.65">
      <c r="A644" s="58" t="s">
        <v>152</v>
      </c>
      <c r="B644" s="59">
        <v>45901</v>
      </c>
      <c r="C644" s="60">
        <v>39</v>
      </c>
      <c r="D644" s="60">
        <v>42</v>
      </c>
      <c r="E644" s="60" t="str">
        <f>tbl_performance[[#This Row],[employee_id]]&amp;"-"&amp;TEXT(tbl_performance[[#This Row],[month]],"mm")</f>
        <v>EMP1059-09</v>
      </c>
      <c r="F644" s="60">
        <f>COUNTIF(tbl_performance[employee_month_key],tbl_performance[[#This Row],[employee_month_key]])</f>
        <v>1</v>
      </c>
      <c r="G644" s="61">
        <f>tbl_performance[[#This Row],[achieved]]/tbl_performance[[#This Row],[target]]</f>
        <v>1.0769230769230769</v>
      </c>
      <c r="H644" s="60" t="str" cm="1">
        <f t="array" ref="H644">_xlfn.IFS(tbl_performance[[#This Row],[performance_pct]]&gt;=1.1,"Excellent",tbl_performance[[#This Row],[performance_pct]]&gt;=1,"Good",tbl_performance[[#This Row],[performance_pct]]&gt;=0.85,"Average",TRUE,"Poor")</f>
        <v>Good</v>
      </c>
    </row>
    <row r="645" spans="1:8" ht="19.8" x14ac:dyDescent="0.65">
      <c r="A645" s="58" t="s">
        <v>152</v>
      </c>
      <c r="B645" s="59">
        <v>45931</v>
      </c>
      <c r="C645" s="60">
        <v>40</v>
      </c>
      <c r="D645" s="60">
        <v>44</v>
      </c>
      <c r="E645" s="60" t="str">
        <f>tbl_performance[[#This Row],[employee_id]]&amp;"-"&amp;TEXT(tbl_performance[[#This Row],[month]],"mm")</f>
        <v>EMP1059-10</v>
      </c>
      <c r="F645" s="60">
        <f>COUNTIF(tbl_performance[employee_month_key],tbl_performance[[#This Row],[employee_month_key]])</f>
        <v>1</v>
      </c>
      <c r="G645" s="61">
        <f>tbl_performance[[#This Row],[achieved]]/tbl_performance[[#This Row],[target]]</f>
        <v>1.1000000000000001</v>
      </c>
      <c r="H645" s="60" t="str" cm="1">
        <f t="array" ref="H64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46" spans="1:8" ht="19.8" x14ac:dyDescent="0.65">
      <c r="A646" s="58" t="s">
        <v>152</v>
      </c>
      <c r="B646" s="59">
        <v>45962</v>
      </c>
      <c r="C646" s="60">
        <v>39</v>
      </c>
      <c r="D646" s="60">
        <v>42</v>
      </c>
      <c r="E646" s="60" t="str">
        <f>tbl_performance[[#This Row],[employee_id]]&amp;"-"&amp;TEXT(tbl_performance[[#This Row],[month]],"mm")</f>
        <v>EMP1059-11</v>
      </c>
      <c r="F646" s="60">
        <f>COUNTIF(tbl_performance[employee_month_key],tbl_performance[[#This Row],[employee_month_key]])</f>
        <v>1</v>
      </c>
      <c r="G646" s="61">
        <f>tbl_performance[[#This Row],[achieved]]/tbl_performance[[#This Row],[target]]</f>
        <v>1.0769230769230769</v>
      </c>
      <c r="H646" s="60" t="str" cm="1">
        <f t="array" ref="H646">_xlfn.IFS(tbl_performance[[#This Row],[performance_pct]]&gt;=1.1,"Excellent",tbl_performance[[#This Row],[performance_pct]]&gt;=1,"Good",tbl_performance[[#This Row],[performance_pct]]&gt;=0.85,"Average",TRUE,"Poor")</f>
        <v>Good</v>
      </c>
    </row>
    <row r="647" spans="1:8" ht="19.8" x14ac:dyDescent="0.65">
      <c r="A647" s="58" t="s">
        <v>152</v>
      </c>
      <c r="B647" s="59">
        <v>45992</v>
      </c>
      <c r="C647" s="60">
        <v>34</v>
      </c>
      <c r="D647" s="60">
        <v>35</v>
      </c>
      <c r="E647" s="60" t="str">
        <f>tbl_performance[[#This Row],[employee_id]]&amp;"-"&amp;TEXT(tbl_performance[[#This Row],[month]],"mm")</f>
        <v>EMP1059-12</v>
      </c>
      <c r="F647" s="60">
        <f>COUNTIF(tbl_performance[employee_month_key],tbl_performance[[#This Row],[employee_month_key]])</f>
        <v>1</v>
      </c>
      <c r="G647" s="61">
        <f>tbl_performance[[#This Row],[achieved]]/tbl_performance[[#This Row],[target]]</f>
        <v>1.0294117647058822</v>
      </c>
      <c r="H647" s="60" t="str" cm="1">
        <f t="array" ref="H647">_xlfn.IFS(tbl_performance[[#This Row],[performance_pct]]&gt;=1.1,"Excellent",tbl_performance[[#This Row],[performance_pct]]&gt;=1,"Good",tbl_performance[[#This Row],[performance_pct]]&gt;=0.85,"Average",TRUE,"Poor")</f>
        <v>Good</v>
      </c>
    </row>
    <row r="648" spans="1:8" ht="19.8" x14ac:dyDescent="0.65">
      <c r="A648" s="58" t="s">
        <v>154</v>
      </c>
      <c r="B648" s="59">
        <v>45658</v>
      </c>
      <c r="C648" s="60">
        <v>167673</v>
      </c>
      <c r="D648" s="60">
        <v>145458</v>
      </c>
      <c r="E648" s="60" t="str">
        <f>tbl_performance[[#This Row],[employee_id]]&amp;"-"&amp;TEXT(tbl_performance[[#This Row],[month]],"mm")</f>
        <v>EMP1060-01</v>
      </c>
      <c r="F648" s="60">
        <f>COUNTIF(tbl_performance[employee_month_key],tbl_performance[[#This Row],[employee_month_key]])</f>
        <v>1</v>
      </c>
      <c r="G648" s="61">
        <f>tbl_performance[[#This Row],[achieved]]/tbl_performance[[#This Row],[target]]</f>
        <v>0.86750997477232472</v>
      </c>
      <c r="H648" s="60" t="str" cm="1">
        <f t="array" ref="H64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49" spans="1:8" ht="19.8" x14ac:dyDescent="0.65">
      <c r="A649" s="58" t="s">
        <v>154</v>
      </c>
      <c r="B649" s="59">
        <v>45689</v>
      </c>
      <c r="C649" s="60">
        <v>155936</v>
      </c>
      <c r="D649" s="60">
        <v>127625</v>
      </c>
      <c r="E649" s="60" t="str">
        <f>tbl_performance[[#This Row],[employee_id]]&amp;"-"&amp;TEXT(tbl_performance[[#This Row],[month]],"mm")</f>
        <v>EMP1060-02</v>
      </c>
      <c r="F649" s="60">
        <f>COUNTIF(tbl_performance[employee_month_key],tbl_performance[[#This Row],[employee_month_key]])</f>
        <v>1</v>
      </c>
      <c r="G649" s="61">
        <f>tbl_performance[[#This Row],[achieved]]/tbl_performance[[#This Row],[target]]</f>
        <v>0.81844474656269239</v>
      </c>
      <c r="H649" s="60" t="str" cm="1">
        <f t="array" ref="H649">_xlfn.IFS(tbl_performance[[#This Row],[performance_pct]]&gt;=1.1,"Excellent",tbl_performance[[#This Row],[performance_pct]]&gt;=1,"Good",tbl_performance[[#This Row],[performance_pct]]&gt;=0.85,"Average",TRUE,"Poor")</f>
        <v>Poor</v>
      </c>
    </row>
    <row r="650" spans="1:8" ht="19.8" x14ac:dyDescent="0.65">
      <c r="A650" s="58" t="s">
        <v>154</v>
      </c>
      <c r="B650" s="59">
        <v>45717</v>
      </c>
      <c r="C650" s="60">
        <v>171027</v>
      </c>
      <c r="D650" s="60">
        <v>174929</v>
      </c>
      <c r="E650" s="60" t="str">
        <f>tbl_performance[[#This Row],[employee_id]]&amp;"-"&amp;TEXT(tbl_performance[[#This Row],[month]],"mm")</f>
        <v>EMP1060-03</v>
      </c>
      <c r="F650" s="60">
        <f>COUNTIF(tbl_performance[employee_month_key],tbl_performance[[#This Row],[employee_month_key]])</f>
        <v>1</v>
      </c>
      <c r="G650" s="61">
        <f>tbl_performance[[#This Row],[achieved]]/tbl_performance[[#This Row],[target]]</f>
        <v>1.0228151110643349</v>
      </c>
      <c r="H650" s="60" t="str" cm="1">
        <f t="array" ref="H650">_xlfn.IFS(tbl_performance[[#This Row],[performance_pct]]&gt;=1.1,"Excellent",tbl_performance[[#This Row],[performance_pct]]&gt;=1,"Good",tbl_performance[[#This Row],[performance_pct]]&gt;=0.85,"Average",TRUE,"Poor")</f>
        <v>Good</v>
      </c>
    </row>
    <row r="651" spans="1:8" ht="19.8" x14ac:dyDescent="0.65">
      <c r="A651" s="58" t="s">
        <v>154</v>
      </c>
      <c r="B651" s="59">
        <v>45748</v>
      </c>
      <c r="C651" s="60">
        <v>167673</v>
      </c>
      <c r="D651" s="60">
        <v>135614</v>
      </c>
      <c r="E651" s="60" t="str">
        <f>tbl_performance[[#This Row],[employee_id]]&amp;"-"&amp;TEXT(tbl_performance[[#This Row],[month]],"mm")</f>
        <v>EMP1060-04</v>
      </c>
      <c r="F651" s="60">
        <f>COUNTIF(tbl_performance[employee_month_key],tbl_performance[[#This Row],[employee_month_key]])</f>
        <v>1</v>
      </c>
      <c r="G651" s="61">
        <f>tbl_performance[[#This Row],[achieved]]/tbl_performance[[#This Row],[target]]</f>
        <v>0.80880046280557993</v>
      </c>
      <c r="H651" s="60" t="str" cm="1">
        <f t="array" ref="H651">_xlfn.IFS(tbl_performance[[#This Row],[performance_pct]]&gt;=1.1,"Excellent",tbl_performance[[#This Row],[performance_pct]]&gt;=1,"Good",tbl_performance[[#This Row],[performance_pct]]&gt;=0.85,"Average",TRUE,"Poor")</f>
        <v>Poor</v>
      </c>
    </row>
    <row r="652" spans="1:8" ht="19.8" x14ac:dyDescent="0.65">
      <c r="A652" s="58" t="s">
        <v>154</v>
      </c>
      <c r="B652" s="59">
        <v>45778</v>
      </c>
      <c r="C652" s="60">
        <v>167673</v>
      </c>
      <c r="D652" s="60">
        <v>147646</v>
      </c>
      <c r="E652" s="60" t="str">
        <f>tbl_performance[[#This Row],[employee_id]]&amp;"-"&amp;TEXT(tbl_performance[[#This Row],[month]],"mm")</f>
        <v>EMP1060-05</v>
      </c>
      <c r="F652" s="60">
        <f>COUNTIF(tbl_performance[employee_month_key],tbl_performance[[#This Row],[employee_month_key]])</f>
        <v>1</v>
      </c>
      <c r="G652" s="61">
        <f>tbl_performance[[#This Row],[achieved]]/tbl_performance[[#This Row],[target]]</f>
        <v>0.88055918364912655</v>
      </c>
      <c r="H652" s="60" t="str" cm="1">
        <f t="array" ref="H65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53" spans="1:8" ht="19.8" x14ac:dyDescent="0.65">
      <c r="A653" s="58" t="s">
        <v>154</v>
      </c>
      <c r="B653" s="59">
        <v>45809</v>
      </c>
      <c r="C653" s="60">
        <v>164320</v>
      </c>
      <c r="D653" s="60">
        <v>140706</v>
      </c>
      <c r="E653" s="60" t="str">
        <f>tbl_performance[[#This Row],[employee_id]]&amp;"-"&amp;TEXT(tbl_performance[[#This Row],[month]],"mm")</f>
        <v>EMP1060-06</v>
      </c>
      <c r="F653" s="60">
        <f>COUNTIF(tbl_performance[employee_month_key],tbl_performance[[#This Row],[employee_month_key]])</f>
        <v>1</v>
      </c>
      <c r="G653" s="61">
        <f>tbl_performance[[#This Row],[achieved]]/tbl_performance[[#This Row],[target]]</f>
        <v>0.85629259980525807</v>
      </c>
      <c r="H653" s="60" t="str" cm="1">
        <f t="array" ref="H65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54" spans="1:8" ht="19.8" x14ac:dyDescent="0.65">
      <c r="A654" s="58" t="s">
        <v>154</v>
      </c>
      <c r="B654" s="59">
        <v>45839</v>
      </c>
      <c r="C654" s="60">
        <v>167673</v>
      </c>
      <c r="D654" s="60">
        <v>175377</v>
      </c>
      <c r="E654" s="60" t="str">
        <f>tbl_performance[[#This Row],[employee_id]]&amp;"-"&amp;TEXT(tbl_performance[[#This Row],[month]],"mm")</f>
        <v>EMP1060-07</v>
      </c>
      <c r="F654" s="60">
        <f>COUNTIF(tbl_performance[employee_month_key],tbl_performance[[#This Row],[employee_month_key]])</f>
        <v>1</v>
      </c>
      <c r="G654" s="61">
        <f>tbl_performance[[#This Row],[achieved]]/tbl_performance[[#This Row],[target]]</f>
        <v>1.0459465745826699</v>
      </c>
      <c r="H654" s="60" t="str" cm="1">
        <f t="array" ref="H654">_xlfn.IFS(tbl_performance[[#This Row],[performance_pct]]&gt;=1.1,"Excellent",tbl_performance[[#This Row],[performance_pct]]&gt;=1,"Good",tbl_performance[[#This Row],[performance_pct]]&gt;=0.85,"Average",TRUE,"Poor")</f>
        <v>Good</v>
      </c>
    </row>
    <row r="655" spans="1:8" ht="19.8" x14ac:dyDescent="0.65">
      <c r="A655" s="58" t="s">
        <v>154</v>
      </c>
      <c r="B655" s="59">
        <v>45870</v>
      </c>
      <c r="C655" s="60">
        <v>162643</v>
      </c>
      <c r="D655" s="60">
        <v>149945</v>
      </c>
      <c r="E655" s="60" t="str">
        <f>tbl_performance[[#This Row],[employee_id]]&amp;"-"&amp;TEXT(tbl_performance[[#This Row],[month]],"mm")</f>
        <v>EMP1060-08</v>
      </c>
      <c r="F655" s="60">
        <f>COUNTIF(tbl_performance[employee_month_key],tbl_performance[[#This Row],[employee_month_key]])</f>
        <v>1</v>
      </c>
      <c r="G655" s="61">
        <f>tbl_performance[[#This Row],[achieved]]/tbl_performance[[#This Row],[target]]</f>
        <v>0.92192716563270471</v>
      </c>
      <c r="H655" s="60" t="str" cm="1">
        <f t="array" ref="H6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56" spans="1:8" ht="19.8" x14ac:dyDescent="0.65">
      <c r="A656" s="58" t="s">
        <v>154</v>
      </c>
      <c r="B656" s="59">
        <v>45901</v>
      </c>
      <c r="C656" s="60">
        <v>167673</v>
      </c>
      <c r="D656" s="60">
        <v>168758</v>
      </c>
      <c r="E656" s="60" t="str">
        <f>tbl_performance[[#This Row],[employee_id]]&amp;"-"&amp;TEXT(tbl_performance[[#This Row],[month]],"mm")</f>
        <v>EMP1060-09</v>
      </c>
      <c r="F656" s="60">
        <f>COUNTIF(tbl_performance[employee_month_key],tbl_performance[[#This Row],[employee_month_key]])</f>
        <v>1</v>
      </c>
      <c r="G656" s="61">
        <f>tbl_performance[[#This Row],[achieved]]/tbl_performance[[#This Row],[target]]</f>
        <v>1.0064709285335147</v>
      </c>
      <c r="H656" s="60" t="str" cm="1">
        <f t="array" ref="H656">_xlfn.IFS(tbl_performance[[#This Row],[performance_pct]]&gt;=1.1,"Excellent",tbl_performance[[#This Row],[performance_pct]]&gt;=1,"Good",tbl_performance[[#This Row],[performance_pct]]&gt;=0.85,"Average",TRUE,"Poor")</f>
        <v>Good</v>
      </c>
    </row>
    <row r="657" spans="1:8" ht="19.8" x14ac:dyDescent="0.65">
      <c r="A657" s="58" t="s">
        <v>154</v>
      </c>
      <c r="B657" s="59">
        <v>45931</v>
      </c>
      <c r="C657" s="60">
        <v>171027</v>
      </c>
      <c r="D657" s="60">
        <v>129248</v>
      </c>
      <c r="E657" s="60" t="str">
        <f>tbl_performance[[#This Row],[employee_id]]&amp;"-"&amp;TEXT(tbl_performance[[#This Row],[month]],"mm")</f>
        <v>EMP1060-10</v>
      </c>
      <c r="F657" s="60">
        <f>COUNTIF(tbl_performance[employee_month_key],tbl_performance[[#This Row],[employee_month_key]])</f>
        <v>1</v>
      </c>
      <c r="G657" s="61">
        <f>tbl_performance[[#This Row],[achieved]]/tbl_performance[[#This Row],[target]]</f>
        <v>0.75571693358358627</v>
      </c>
      <c r="H657" s="60" t="str" cm="1">
        <f t="array" ref="H657">_xlfn.IFS(tbl_performance[[#This Row],[performance_pct]]&gt;=1.1,"Excellent",tbl_performance[[#This Row],[performance_pct]]&gt;=1,"Good",tbl_performance[[#This Row],[performance_pct]]&gt;=0.85,"Average",TRUE,"Poor")</f>
        <v>Poor</v>
      </c>
    </row>
    <row r="658" spans="1:8" ht="19.8" x14ac:dyDescent="0.65">
      <c r="A658" s="58" t="s">
        <v>154</v>
      </c>
      <c r="B658" s="59">
        <v>45962</v>
      </c>
      <c r="C658" s="60">
        <v>167673</v>
      </c>
      <c r="D658" s="60">
        <v>173038</v>
      </c>
      <c r="E658" s="60" t="str">
        <f>tbl_performance[[#This Row],[employee_id]]&amp;"-"&amp;TEXT(tbl_performance[[#This Row],[month]],"mm")</f>
        <v>EMP1060-11</v>
      </c>
      <c r="F658" s="60">
        <f>COUNTIF(tbl_performance[employee_month_key],tbl_performance[[#This Row],[employee_month_key]])</f>
        <v>1</v>
      </c>
      <c r="G658" s="61">
        <f>tbl_performance[[#This Row],[achieved]]/tbl_performance[[#This Row],[target]]</f>
        <v>1.0319968033016647</v>
      </c>
      <c r="H658" s="60" t="str" cm="1">
        <f t="array" ref="H658">_xlfn.IFS(tbl_performance[[#This Row],[performance_pct]]&gt;=1.1,"Excellent",tbl_performance[[#This Row],[performance_pct]]&gt;=1,"Good",tbl_performance[[#This Row],[performance_pct]]&gt;=0.85,"Average",TRUE,"Poor")</f>
        <v>Good</v>
      </c>
    </row>
    <row r="659" spans="1:8" ht="19.8" x14ac:dyDescent="0.65">
      <c r="A659" s="58" t="s">
        <v>154</v>
      </c>
      <c r="B659" s="59">
        <v>45992</v>
      </c>
      <c r="C659" s="60">
        <v>142522</v>
      </c>
      <c r="D659" s="60">
        <v>161797</v>
      </c>
      <c r="E659" s="60" t="str">
        <f>tbl_performance[[#This Row],[employee_id]]&amp;"-"&amp;TEXT(tbl_performance[[#This Row],[month]],"mm")</f>
        <v>EMP1060-12</v>
      </c>
      <c r="F659" s="60">
        <f>COUNTIF(tbl_performance[employee_month_key],tbl_performance[[#This Row],[employee_month_key]])</f>
        <v>1</v>
      </c>
      <c r="G659" s="61">
        <f>tbl_performance[[#This Row],[achieved]]/tbl_performance[[#This Row],[target]]</f>
        <v>1.1352422783850915</v>
      </c>
      <c r="H659" s="60" t="str" cm="1">
        <f t="array" ref="H65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60" spans="1:8" ht="19.8" x14ac:dyDescent="0.65">
      <c r="A660" s="58" t="s">
        <v>156</v>
      </c>
      <c r="B660" s="59">
        <v>45658</v>
      </c>
      <c r="C660" s="60">
        <v>61543</v>
      </c>
      <c r="D660" s="60">
        <v>61166</v>
      </c>
      <c r="E660" s="60" t="str">
        <f>tbl_performance[[#This Row],[employee_id]]&amp;"-"&amp;TEXT(tbl_performance[[#This Row],[month]],"mm")</f>
        <v>EMP1061-01</v>
      </c>
      <c r="F660" s="60">
        <f>COUNTIF(tbl_performance[employee_month_key],tbl_performance[[#This Row],[employee_month_key]])</f>
        <v>1</v>
      </c>
      <c r="G660" s="61">
        <f>tbl_performance[[#This Row],[achieved]]/tbl_performance[[#This Row],[target]]</f>
        <v>0.99387420177761887</v>
      </c>
      <c r="H660" s="60" t="str" cm="1">
        <f t="array" ref="H66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61" spans="1:8" ht="19.8" x14ac:dyDescent="0.65">
      <c r="A661" s="58" t="s">
        <v>156</v>
      </c>
      <c r="B661" s="59">
        <v>45689</v>
      </c>
      <c r="C661" s="60">
        <v>57235</v>
      </c>
      <c r="D661" s="60">
        <v>49028</v>
      </c>
      <c r="E661" s="60" t="str">
        <f>tbl_performance[[#This Row],[employee_id]]&amp;"-"&amp;TEXT(tbl_performance[[#This Row],[month]],"mm")</f>
        <v>EMP1061-02</v>
      </c>
      <c r="F661" s="60">
        <f>COUNTIF(tbl_performance[employee_month_key],tbl_performance[[#This Row],[employee_month_key]])</f>
        <v>1</v>
      </c>
      <c r="G661" s="61">
        <f>tbl_performance[[#This Row],[achieved]]/tbl_performance[[#This Row],[target]]</f>
        <v>0.8566087184415131</v>
      </c>
      <c r="H661" s="60" t="str" cm="1">
        <f t="array" ref="H66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62" spans="1:8" ht="19.8" x14ac:dyDescent="0.65">
      <c r="A662" s="58" t="s">
        <v>156</v>
      </c>
      <c r="B662" s="59">
        <v>45717</v>
      </c>
      <c r="C662" s="60">
        <v>62774</v>
      </c>
      <c r="D662" s="60">
        <v>67809</v>
      </c>
      <c r="E662" s="60" t="str">
        <f>tbl_performance[[#This Row],[employee_id]]&amp;"-"&amp;TEXT(tbl_performance[[#This Row],[month]],"mm")</f>
        <v>EMP1061-03</v>
      </c>
      <c r="F662" s="60">
        <f>COUNTIF(tbl_performance[employee_month_key],tbl_performance[[#This Row],[employee_month_key]])</f>
        <v>1</v>
      </c>
      <c r="G662" s="61">
        <f>tbl_performance[[#This Row],[achieved]]/tbl_performance[[#This Row],[target]]</f>
        <v>1.0802083665211712</v>
      </c>
      <c r="H662" s="60" t="str" cm="1">
        <f t="array" ref="H662">_xlfn.IFS(tbl_performance[[#This Row],[performance_pct]]&gt;=1.1,"Excellent",tbl_performance[[#This Row],[performance_pct]]&gt;=1,"Good",tbl_performance[[#This Row],[performance_pct]]&gt;=0.85,"Average",TRUE,"Poor")</f>
        <v>Good</v>
      </c>
    </row>
    <row r="663" spans="1:8" ht="19.8" x14ac:dyDescent="0.65">
      <c r="A663" s="58" t="s">
        <v>156</v>
      </c>
      <c r="B663" s="59">
        <v>45748</v>
      </c>
      <c r="C663" s="60">
        <v>61543</v>
      </c>
      <c r="D663" s="60">
        <v>72016</v>
      </c>
      <c r="E663" s="60" t="str">
        <f>tbl_performance[[#This Row],[employee_id]]&amp;"-"&amp;TEXT(tbl_performance[[#This Row],[month]],"mm")</f>
        <v>EMP1061-04</v>
      </c>
      <c r="F663" s="60">
        <f>COUNTIF(tbl_performance[employee_month_key],tbl_performance[[#This Row],[employee_month_key]])</f>
        <v>1</v>
      </c>
      <c r="G663" s="61">
        <f>tbl_performance[[#This Row],[achieved]]/tbl_performance[[#This Row],[target]]</f>
        <v>1.1701736996896479</v>
      </c>
      <c r="H663" s="60" t="str" cm="1">
        <f t="array" ref="H66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64" spans="1:8" ht="19.8" x14ac:dyDescent="0.65">
      <c r="A664" s="58" t="s">
        <v>156</v>
      </c>
      <c r="B664" s="59">
        <v>45778</v>
      </c>
      <c r="C664" s="60">
        <v>61543</v>
      </c>
      <c r="D664" s="60">
        <v>55696</v>
      </c>
      <c r="E664" s="60" t="str">
        <f>tbl_performance[[#This Row],[employee_id]]&amp;"-"&amp;TEXT(tbl_performance[[#This Row],[month]],"mm")</f>
        <v>EMP1061-05</v>
      </c>
      <c r="F664" s="60">
        <f>COUNTIF(tbl_performance[employee_month_key],tbl_performance[[#This Row],[employee_month_key]])</f>
        <v>1</v>
      </c>
      <c r="G664" s="61">
        <f>tbl_performance[[#This Row],[achieved]]/tbl_performance[[#This Row],[target]]</f>
        <v>0.9049932567473149</v>
      </c>
      <c r="H664" s="60" t="str" cm="1">
        <f t="array" ref="H66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65" spans="1:8" ht="19.8" x14ac:dyDescent="0.65">
      <c r="A665" s="58" t="s">
        <v>156</v>
      </c>
      <c r="B665" s="59">
        <v>45809</v>
      </c>
      <c r="C665" s="60">
        <v>60312</v>
      </c>
      <c r="D665" s="60">
        <v>54145</v>
      </c>
      <c r="E665" s="60" t="str">
        <f>tbl_performance[[#This Row],[employee_id]]&amp;"-"&amp;TEXT(tbl_performance[[#This Row],[month]],"mm")</f>
        <v>EMP1061-06</v>
      </c>
      <c r="F665" s="60">
        <f>COUNTIF(tbl_performance[employee_month_key],tbl_performance[[#This Row],[employee_month_key]])</f>
        <v>1</v>
      </c>
      <c r="G665" s="61">
        <f>tbl_performance[[#This Row],[achieved]]/tbl_performance[[#This Row],[target]]</f>
        <v>0.89774837511606309</v>
      </c>
      <c r="H665" s="60" t="str" cm="1">
        <f t="array" ref="H66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66" spans="1:8" ht="19.8" x14ac:dyDescent="0.65">
      <c r="A666" s="58" t="s">
        <v>156</v>
      </c>
      <c r="B666" s="59">
        <v>45839</v>
      </c>
      <c r="C666" s="60">
        <v>61543</v>
      </c>
      <c r="D666" s="60">
        <v>66997</v>
      </c>
      <c r="E666" s="60" t="str">
        <f>tbl_performance[[#This Row],[employee_id]]&amp;"-"&amp;TEXT(tbl_performance[[#This Row],[month]],"mm")</f>
        <v>EMP1061-07</v>
      </c>
      <c r="F666" s="60">
        <f>COUNTIF(tbl_performance[employee_month_key],tbl_performance[[#This Row],[employee_month_key]])</f>
        <v>1</v>
      </c>
      <c r="G666" s="61">
        <f>tbl_performance[[#This Row],[achieved]]/tbl_performance[[#This Row],[target]]</f>
        <v>1.08862096420389</v>
      </c>
      <c r="H666" s="60" t="str" cm="1">
        <f t="array" ref="H666">_xlfn.IFS(tbl_performance[[#This Row],[performance_pct]]&gt;=1.1,"Excellent",tbl_performance[[#This Row],[performance_pct]]&gt;=1,"Good",tbl_performance[[#This Row],[performance_pct]]&gt;=0.85,"Average",TRUE,"Poor")</f>
        <v>Good</v>
      </c>
    </row>
    <row r="667" spans="1:8" ht="19.8" x14ac:dyDescent="0.65">
      <c r="A667" s="58" t="s">
        <v>156</v>
      </c>
      <c r="B667" s="59">
        <v>45870</v>
      </c>
      <c r="C667" s="60">
        <v>59697</v>
      </c>
      <c r="D667" s="60">
        <v>65801</v>
      </c>
      <c r="E667" s="60" t="str">
        <f>tbl_performance[[#This Row],[employee_id]]&amp;"-"&amp;TEXT(tbl_performance[[#This Row],[month]],"mm")</f>
        <v>EMP1061-08</v>
      </c>
      <c r="F667" s="60">
        <f>COUNTIF(tbl_performance[employee_month_key],tbl_performance[[#This Row],[employee_month_key]])</f>
        <v>1</v>
      </c>
      <c r="G667" s="61">
        <f>tbl_performance[[#This Row],[achieved]]/tbl_performance[[#This Row],[target]]</f>
        <v>1.1022496942894953</v>
      </c>
      <c r="H667" s="60" t="str" cm="1">
        <f t="array" ref="H66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668" spans="1:8" ht="19.8" x14ac:dyDescent="0.65">
      <c r="A668" s="58" t="s">
        <v>156</v>
      </c>
      <c r="B668" s="59">
        <v>45901</v>
      </c>
      <c r="C668" s="60">
        <v>61543</v>
      </c>
      <c r="D668" s="60">
        <v>54960</v>
      </c>
      <c r="E668" s="60" t="str">
        <f>tbl_performance[[#This Row],[employee_id]]&amp;"-"&amp;TEXT(tbl_performance[[#This Row],[month]],"mm")</f>
        <v>EMP1061-09</v>
      </c>
      <c r="F668" s="60">
        <f>COUNTIF(tbl_performance[employee_month_key],tbl_performance[[#This Row],[employee_month_key]])</f>
        <v>1</v>
      </c>
      <c r="G668" s="61">
        <f>tbl_performance[[#This Row],[achieved]]/tbl_performance[[#This Row],[target]]</f>
        <v>0.89303413873226845</v>
      </c>
      <c r="H668" s="60" t="str" cm="1">
        <f t="array" ref="H66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69" spans="1:8" ht="19.8" x14ac:dyDescent="0.65">
      <c r="A669" s="58" t="s">
        <v>156</v>
      </c>
      <c r="B669" s="59">
        <v>45931</v>
      </c>
      <c r="C669" s="60">
        <v>62774</v>
      </c>
      <c r="D669" s="60">
        <v>56765</v>
      </c>
      <c r="E669" s="60" t="str">
        <f>tbl_performance[[#This Row],[employee_id]]&amp;"-"&amp;TEXT(tbl_performance[[#This Row],[month]],"mm")</f>
        <v>EMP1061-10</v>
      </c>
      <c r="F669" s="60">
        <f>COUNTIF(tbl_performance[employee_month_key],tbl_performance[[#This Row],[employee_month_key]])</f>
        <v>1</v>
      </c>
      <c r="G669" s="61">
        <f>tbl_performance[[#This Row],[achieved]]/tbl_performance[[#This Row],[target]]</f>
        <v>0.90427565552617328</v>
      </c>
      <c r="H669" s="60" t="str" cm="1">
        <f t="array" ref="H66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70" spans="1:8" ht="19.8" x14ac:dyDescent="0.65">
      <c r="A670" s="58" t="s">
        <v>156</v>
      </c>
      <c r="B670" s="59">
        <v>45962</v>
      </c>
      <c r="C670" s="60">
        <v>61543</v>
      </c>
      <c r="D670" s="60">
        <v>62721</v>
      </c>
      <c r="E670" s="60" t="str">
        <f>tbl_performance[[#This Row],[employee_id]]&amp;"-"&amp;TEXT(tbl_performance[[#This Row],[month]],"mm")</f>
        <v>EMP1061-11</v>
      </c>
      <c r="F670" s="60">
        <f>COUNTIF(tbl_performance[employee_month_key],tbl_performance[[#This Row],[employee_month_key]])</f>
        <v>1</v>
      </c>
      <c r="G670" s="61">
        <f>tbl_performance[[#This Row],[achieved]]/tbl_performance[[#This Row],[target]]</f>
        <v>1.0191410883447345</v>
      </c>
      <c r="H670" s="60" t="str" cm="1">
        <f t="array" ref="H670">_xlfn.IFS(tbl_performance[[#This Row],[performance_pct]]&gt;=1.1,"Excellent",tbl_performance[[#This Row],[performance_pct]]&gt;=1,"Good",tbl_performance[[#This Row],[performance_pct]]&gt;=0.85,"Average",TRUE,"Poor")</f>
        <v>Good</v>
      </c>
    </row>
    <row r="671" spans="1:8" ht="19.8" x14ac:dyDescent="0.65">
      <c r="A671" s="58" t="s">
        <v>156</v>
      </c>
      <c r="B671" s="59">
        <v>45992</v>
      </c>
      <c r="C671" s="60">
        <v>52312</v>
      </c>
      <c r="D671" s="60">
        <v>49898</v>
      </c>
      <c r="E671" s="60" t="str">
        <f>tbl_performance[[#This Row],[employee_id]]&amp;"-"&amp;TEXT(tbl_performance[[#This Row],[month]],"mm")</f>
        <v>EMP1061-12</v>
      </c>
      <c r="F671" s="60">
        <f>COUNTIF(tbl_performance[employee_month_key],tbl_performance[[#This Row],[employee_month_key]])</f>
        <v>1</v>
      </c>
      <c r="G671" s="61">
        <f>tbl_performance[[#This Row],[achieved]]/tbl_performance[[#This Row],[target]]</f>
        <v>0.95385380027527145</v>
      </c>
      <c r="H671" s="60" t="str" cm="1">
        <f t="array" ref="H67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72" spans="1:8" ht="19.8" x14ac:dyDescent="0.65">
      <c r="A672" s="58" t="s">
        <v>158</v>
      </c>
      <c r="B672" s="59">
        <v>45658</v>
      </c>
      <c r="C672" s="60">
        <v>158</v>
      </c>
      <c r="D672" s="60">
        <v>121</v>
      </c>
      <c r="E672" s="60" t="str">
        <f>tbl_performance[[#This Row],[employee_id]]&amp;"-"&amp;TEXT(tbl_performance[[#This Row],[month]],"mm")</f>
        <v>EMP1062-01</v>
      </c>
      <c r="F672" s="60">
        <f>COUNTIF(tbl_performance[employee_month_key],tbl_performance[[#This Row],[employee_month_key]])</f>
        <v>1</v>
      </c>
      <c r="G672" s="61">
        <f>tbl_performance[[#This Row],[achieved]]/tbl_performance[[#This Row],[target]]</f>
        <v>0.76582278481012656</v>
      </c>
      <c r="H672" s="60" t="str" cm="1">
        <f t="array" ref="H672">_xlfn.IFS(tbl_performance[[#This Row],[performance_pct]]&gt;=1.1,"Excellent",tbl_performance[[#This Row],[performance_pct]]&gt;=1,"Good",tbl_performance[[#This Row],[performance_pct]]&gt;=0.85,"Average",TRUE,"Poor")</f>
        <v>Poor</v>
      </c>
    </row>
    <row r="673" spans="1:8" ht="19.8" x14ac:dyDescent="0.65">
      <c r="A673" s="58" t="s">
        <v>158</v>
      </c>
      <c r="B673" s="59">
        <v>45689</v>
      </c>
      <c r="C673" s="60">
        <v>147</v>
      </c>
      <c r="D673" s="60">
        <v>114</v>
      </c>
      <c r="E673" s="60" t="str">
        <f>tbl_performance[[#This Row],[employee_id]]&amp;"-"&amp;TEXT(tbl_performance[[#This Row],[month]],"mm")</f>
        <v>EMP1062-02</v>
      </c>
      <c r="F673" s="60">
        <f>COUNTIF(tbl_performance[employee_month_key],tbl_performance[[#This Row],[employee_month_key]])</f>
        <v>1</v>
      </c>
      <c r="G673" s="61">
        <f>tbl_performance[[#This Row],[achieved]]/tbl_performance[[#This Row],[target]]</f>
        <v>0.77551020408163263</v>
      </c>
      <c r="H673" s="60" t="str" cm="1">
        <f t="array" ref="H673">_xlfn.IFS(tbl_performance[[#This Row],[performance_pct]]&gt;=1.1,"Excellent",tbl_performance[[#This Row],[performance_pct]]&gt;=1,"Good",tbl_performance[[#This Row],[performance_pct]]&gt;=0.85,"Average",TRUE,"Poor")</f>
        <v>Poor</v>
      </c>
    </row>
    <row r="674" spans="1:8" ht="19.8" x14ac:dyDescent="0.65">
      <c r="A674" s="58" t="s">
        <v>158</v>
      </c>
      <c r="B674" s="59">
        <v>45717</v>
      </c>
      <c r="C674" s="60">
        <v>161</v>
      </c>
      <c r="D674" s="60">
        <v>132</v>
      </c>
      <c r="E674" s="60" t="str">
        <f>tbl_performance[[#This Row],[employee_id]]&amp;"-"&amp;TEXT(tbl_performance[[#This Row],[month]],"mm")</f>
        <v>EMP1062-03</v>
      </c>
      <c r="F674" s="60">
        <f>COUNTIF(tbl_performance[employee_month_key],tbl_performance[[#This Row],[employee_month_key]])</f>
        <v>1</v>
      </c>
      <c r="G674" s="61">
        <f>tbl_performance[[#This Row],[achieved]]/tbl_performance[[#This Row],[target]]</f>
        <v>0.81987577639751552</v>
      </c>
      <c r="H674" s="60" t="str" cm="1">
        <f t="array" ref="H674">_xlfn.IFS(tbl_performance[[#This Row],[performance_pct]]&gt;=1.1,"Excellent",tbl_performance[[#This Row],[performance_pct]]&gt;=1,"Good",tbl_performance[[#This Row],[performance_pct]]&gt;=0.85,"Average",TRUE,"Poor")</f>
        <v>Poor</v>
      </c>
    </row>
    <row r="675" spans="1:8" ht="19.8" x14ac:dyDescent="0.65">
      <c r="A675" s="58" t="s">
        <v>158</v>
      </c>
      <c r="B675" s="59">
        <v>45748</v>
      </c>
      <c r="C675" s="60">
        <v>158</v>
      </c>
      <c r="D675" s="60">
        <v>131</v>
      </c>
      <c r="E675" s="60" t="str">
        <f>tbl_performance[[#This Row],[employee_id]]&amp;"-"&amp;TEXT(tbl_performance[[#This Row],[month]],"mm")</f>
        <v>EMP1062-04</v>
      </c>
      <c r="F675" s="60">
        <f>COUNTIF(tbl_performance[employee_month_key],tbl_performance[[#This Row],[employee_month_key]])</f>
        <v>1</v>
      </c>
      <c r="G675" s="61">
        <f>tbl_performance[[#This Row],[achieved]]/tbl_performance[[#This Row],[target]]</f>
        <v>0.82911392405063289</v>
      </c>
      <c r="H675" s="60" t="str" cm="1">
        <f t="array" ref="H675">_xlfn.IFS(tbl_performance[[#This Row],[performance_pct]]&gt;=1.1,"Excellent",tbl_performance[[#This Row],[performance_pct]]&gt;=1,"Good",tbl_performance[[#This Row],[performance_pct]]&gt;=0.85,"Average",TRUE,"Poor")</f>
        <v>Poor</v>
      </c>
    </row>
    <row r="676" spans="1:8" ht="19.8" x14ac:dyDescent="0.65">
      <c r="A676" s="58" t="s">
        <v>158</v>
      </c>
      <c r="B676" s="59">
        <v>45778</v>
      </c>
      <c r="C676" s="60">
        <v>158</v>
      </c>
      <c r="D676" s="60">
        <v>143</v>
      </c>
      <c r="E676" s="60" t="str">
        <f>tbl_performance[[#This Row],[employee_id]]&amp;"-"&amp;TEXT(tbl_performance[[#This Row],[month]],"mm")</f>
        <v>EMP1062-05</v>
      </c>
      <c r="F676" s="60">
        <f>COUNTIF(tbl_performance[employee_month_key],tbl_performance[[#This Row],[employee_month_key]])</f>
        <v>1</v>
      </c>
      <c r="G676" s="61">
        <f>tbl_performance[[#This Row],[achieved]]/tbl_performance[[#This Row],[target]]</f>
        <v>0.90506329113924056</v>
      </c>
      <c r="H676" s="60" t="str" cm="1">
        <f t="array" ref="H67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77" spans="1:8" ht="19.8" x14ac:dyDescent="0.65">
      <c r="A677" s="58" t="s">
        <v>158</v>
      </c>
      <c r="B677" s="59">
        <v>45809</v>
      </c>
      <c r="C677" s="60">
        <v>155</v>
      </c>
      <c r="D677" s="60">
        <v>118</v>
      </c>
      <c r="E677" s="60" t="str">
        <f>tbl_performance[[#This Row],[employee_id]]&amp;"-"&amp;TEXT(tbl_performance[[#This Row],[month]],"mm")</f>
        <v>EMP1062-06</v>
      </c>
      <c r="F677" s="60">
        <f>COUNTIF(tbl_performance[employee_month_key],tbl_performance[[#This Row],[employee_month_key]])</f>
        <v>1</v>
      </c>
      <c r="G677" s="61">
        <f>tbl_performance[[#This Row],[achieved]]/tbl_performance[[#This Row],[target]]</f>
        <v>0.76129032258064511</v>
      </c>
      <c r="H677" s="60" t="str" cm="1">
        <f t="array" ref="H677">_xlfn.IFS(tbl_performance[[#This Row],[performance_pct]]&gt;=1.1,"Excellent",tbl_performance[[#This Row],[performance_pct]]&gt;=1,"Good",tbl_performance[[#This Row],[performance_pct]]&gt;=0.85,"Average",TRUE,"Poor")</f>
        <v>Poor</v>
      </c>
    </row>
    <row r="678" spans="1:8" ht="19.8" x14ac:dyDescent="0.65">
      <c r="A678" s="58" t="s">
        <v>158</v>
      </c>
      <c r="B678" s="59">
        <v>45839</v>
      </c>
      <c r="C678" s="60">
        <v>158</v>
      </c>
      <c r="D678" s="60">
        <v>138</v>
      </c>
      <c r="E678" s="60" t="str">
        <f>tbl_performance[[#This Row],[employee_id]]&amp;"-"&amp;TEXT(tbl_performance[[#This Row],[month]],"mm")</f>
        <v>EMP1062-07</v>
      </c>
      <c r="F678" s="60">
        <f>COUNTIF(tbl_performance[employee_month_key],tbl_performance[[#This Row],[employee_month_key]])</f>
        <v>1</v>
      </c>
      <c r="G678" s="61">
        <f>tbl_performance[[#This Row],[achieved]]/tbl_performance[[#This Row],[target]]</f>
        <v>0.87341772151898733</v>
      </c>
      <c r="H678" s="60" t="str" cm="1">
        <f t="array" ref="H67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79" spans="1:8" ht="19.8" x14ac:dyDescent="0.65">
      <c r="A679" s="58" t="s">
        <v>158</v>
      </c>
      <c r="B679" s="59">
        <v>45870</v>
      </c>
      <c r="C679" s="60">
        <v>153</v>
      </c>
      <c r="D679" s="60">
        <v>101</v>
      </c>
      <c r="E679" s="60" t="str">
        <f>tbl_performance[[#This Row],[employee_id]]&amp;"-"&amp;TEXT(tbl_performance[[#This Row],[month]],"mm")</f>
        <v>EMP1062-08</v>
      </c>
      <c r="F679" s="60">
        <f>COUNTIF(tbl_performance[employee_month_key],tbl_performance[[#This Row],[employee_month_key]])</f>
        <v>1</v>
      </c>
      <c r="G679" s="61">
        <f>tbl_performance[[#This Row],[achieved]]/tbl_performance[[#This Row],[target]]</f>
        <v>0.66013071895424835</v>
      </c>
      <c r="H679" s="60" t="str" cm="1">
        <f t="array" ref="H679">_xlfn.IFS(tbl_performance[[#This Row],[performance_pct]]&gt;=1.1,"Excellent",tbl_performance[[#This Row],[performance_pct]]&gt;=1,"Good",tbl_performance[[#This Row],[performance_pct]]&gt;=0.85,"Average",TRUE,"Poor")</f>
        <v>Poor</v>
      </c>
    </row>
    <row r="680" spans="1:8" ht="19.8" x14ac:dyDescent="0.65">
      <c r="A680" s="58" t="s">
        <v>158</v>
      </c>
      <c r="B680" s="59">
        <v>45901</v>
      </c>
      <c r="C680" s="60">
        <v>158</v>
      </c>
      <c r="D680" s="60">
        <v>121</v>
      </c>
      <c r="E680" s="60" t="str">
        <f>tbl_performance[[#This Row],[employee_id]]&amp;"-"&amp;TEXT(tbl_performance[[#This Row],[month]],"mm")</f>
        <v>EMP1062-09</v>
      </c>
      <c r="F680" s="60">
        <f>COUNTIF(tbl_performance[employee_month_key],tbl_performance[[#This Row],[employee_month_key]])</f>
        <v>1</v>
      </c>
      <c r="G680" s="61">
        <f>tbl_performance[[#This Row],[achieved]]/tbl_performance[[#This Row],[target]]</f>
        <v>0.76582278481012656</v>
      </c>
      <c r="H680" s="60" t="str" cm="1">
        <f t="array" ref="H680">_xlfn.IFS(tbl_performance[[#This Row],[performance_pct]]&gt;=1.1,"Excellent",tbl_performance[[#This Row],[performance_pct]]&gt;=1,"Good",tbl_performance[[#This Row],[performance_pct]]&gt;=0.85,"Average",TRUE,"Poor")</f>
        <v>Poor</v>
      </c>
    </row>
    <row r="681" spans="1:8" ht="19.8" x14ac:dyDescent="0.65">
      <c r="A681" s="58" t="s">
        <v>158</v>
      </c>
      <c r="B681" s="59">
        <v>45931</v>
      </c>
      <c r="C681" s="60">
        <v>161</v>
      </c>
      <c r="D681" s="60">
        <v>138</v>
      </c>
      <c r="E681" s="60" t="str">
        <f>tbl_performance[[#This Row],[employee_id]]&amp;"-"&amp;TEXT(tbl_performance[[#This Row],[month]],"mm")</f>
        <v>EMP1062-10</v>
      </c>
      <c r="F681" s="60">
        <f>COUNTIF(tbl_performance[employee_month_key],tbl_performance[[#This Row],[employee_month_key]])</f>
        <v>1</v>
      </c>
      <c r="G681" s="61">
        <f>tbl_performance[[#This Row],[achieved]]/tbl_performance[[#This Row],[target]]</f>
        <v>0.8571428571428571</v>
      </c>
      <c r="H681" s="60" t="str" cm="1">
        <f t="array" ref="H68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2" spans="1:8" ht="19.8" x14ac:dyDescent="0.65">
      <c r="A682" s="58" t="s">
        <v>158</v>
      </c>
      <c r="B682" s="59">
        <v>45962</v>
      </c>
      <c r="C682" s="60">
        <v>158</v>
      </c>
      <c r="D682" s="60">
        <v>120</v>
      </c>
      <c r="E682" s="60" t="str">
        <f>tbl_performance[[#This Row],[employee_id]]&amp;"-"&amp;TEXT(tbl_performance[[#This Row],[month]],"mm")</f>
        <v>EMP1062-11</v>
      </c>
      <c r="F682" s="60">
        <f>COUNTIF(tbl_performance[employee_month_key],tbl_performance[[#This Row],[employee_month_key]])</f>
        <v>1</v>
      </c>
      <c r="G682" s="61">
        <f>tbl_performance[[#This Row],[achieved]]/tbl_performance[[#This Row],[target]]</f>
        <v>0.759493670886076</v>
      </c>
      <c r="H682" s="60" t="str" cm="1">
        <f t="array" ref="H682">_xlfn.IFS(tbl_performance[[#This Row],[performance_pct]]&gt;=1.1,"Excellent",tbl_performance[[#This Row],[performance_pct]]&gt;=1,"Good",tbl_performance[[#This Row],[performance_pct]]&gt;=0.85,"Average",TRUE,"Poor")</f>
        <v>Poor</v>
      </c>
    </row>
    <row r="683" spans="1:8" ht="19.8" x14ac:dyDescent="0.65">
      <c r="A683" s="58" t="s">
        <v>158</v>
      </c>
      <c r="B683" s="59">
        <v>45992</v>
      </c>
      <c r="C683" s="60">
        <v>134</v>
      </c>
      <c r="D683" s="60">
        <v>103</v>
      </c>
      <c r="E683" s="60" t="str">
        <f>tbl_performance[[#This Row],[employee_id]]&amp;"-"&amp;TEXT(tbl_performance[[#This Row],[month]],"mm")</f>
        <v>EMP1062-12</v>
      </c>
      <c r="F683" s="60">
        <f>COUNTIF(tbl_performance[employee_month_key],tbl_performance[[#This Row],[employee_month_key]])</f>
        <v>1</v>
      </c>
      <c r="G683" s="61">
        <f>tbl_performance[[#This Row],[achieved]]/tbl_performance[[#This Row],[target]]</f>
        <v>0.76865671641791045</v>
      </c>
      <c r="H683" s="60" t="str" cm="1">
        <f t="array" ref="H683">_xlfn.IFS(tbl_performance[[#This Row],[performance_pct]]&gt;=1.1,"Excellent",tbl_performance[[#This Row],[performance_pct]]&gt;=1,"Good",tbl_performance[[#This Row],[performance_pct]]&gt;=0.85,"Average",TRUE,"Poor")</f>
        <v>Poor</v>
      </c>
    </row>
    <row r="684" spans="1:8" ht="19.8" x14ac:dyDescent="0.65">
      <c r="A684" s="58" t="s">
        <v>160</v>
      </c>
      <c r="B684" s="59">
        <v>45658</v>
      </c>
      <c r="C684" s="60">
        <v>187</v>
      </c>
      <c r="D684" s="60">
        <v>172</v>
      </c>
      <c r="E684" s="60" t="str">
        <f>tbl_performance[[#This Row],[employee_id]]&amp;"-"&amp;TEXT(tbl_performance[[#This Row],[month]],"mm")</f>
        <v>EMP1063-01</v>
      </c>
      <c r="F684" s="60">
        <f>COUNTIF(tbl_performance[employee_month_key],tbl_performance[[#This Row],[employee_month_key]])</f>
        <v>1</v>
      </c>
      <c r="G684" s="61">
        <f>tbl_performance[[#This Row],[achieved]]/tbl_performance[[#This Row],[target]]</f>
        <v>0.9197860962566845</v>
      </c>
      <c r="H684" s="60" t="str" cm="1">
        <f t="array" ref="H68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5" spans="1:8" ht="19.8" x14ac:dyDescent="0.65">
      <c r="A685" s="58" t="s">
        <v>160</v>
      </c>
      <c r="B685" s="59">
        <v>45689</v>
      </c>
      <c r="C685" s="60">
        <v>173</v>
      </c>
      <c r="D685" s="60">
        <v>158</v>
      </c>
      <c r="E685" s="60" t="str">
        <f>tbl_performance[[#This Row],[employee_id]]&amp;"-"&amp;TEXT(tbl_performance[[#This Row],[month]],"mm")</f>
        <v>EMP1063-02</v>
      </c>
      <c r="F685" s="60">
        <f>COUNTIF(tbl_performance[employee_month_key],tbl_performance[[#This Row],[employee_month_key]])</f>
        <v>1</v>
      </c>
      <c r="G685" s="61">
        <f>tbl_performance[[#This Row],[achieved]]/tbl_performance[[#This Row],[target]]</f>
        <v>0.91329479768786126</v>
      </c>
      <c r="H685" s="60" t="str" cm="1">
        <f t="array" ref="H68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6" spans="1:8" ht="19.8" x14ac:dyDescent="0.65">
      <c r="A686" s="58" t="s">
        <v>160</v>
      </c>
      <c r="B686" s="59">
        <v>45717</v>
      </c>
      <c r="C686" s="60">
        <v>190</v>
      </c>
      <c r="D686" s="60">
        <v>198</v>
      </c>
      <c r="E686" s="60" t="str">
        <f>tbl_performance[[#This Row],[employee_id]]&amp;"-"&amp;TEXT(tbl_performance[[#This Row],[month]],"mm")</f>
        <v>EMP1063-03</v>
      </c>
      <c r="F686" s="60">
        <f>COUNTIF(tbl_performance[employee_month_key],tbl_performance[[#This Row],[employee_month_key]])</f>
        <v>1</v>
      </c>
      <c r="G686" s="61">
        <f>tbl_performance[[#This Row],[achieved]]/tbl_performance[[#This Row],[target]]</f>
        <v>1.0421052631578946</v>
      </c>
      <c r="H686" s="60" t="str" cm="1">
        <f t="array" ref="H686">_xlfn.IFS(tbl_performance[[#This Row],[performance_pct]]&gt;=1.1,"Excellent",tbl_performance[[#This Row],[performance_pct]]&gt;=1,"Good",tbl_performance[[#This Row],[performance_pct]]&gt;=0.85,"Average",TRUE,"Poor")</f>
        <v>Good</v>
      </c>
    </row>
    <row r="687" spans="1:8" ht="19.8" x14ac:dyDescent="0.65">
      <c r="A687" s="58" t="s">
        <v>160</v>
      </c>
      <c r="B687" s="59">
        <v>45748</v>
      </c>
      <c r="C687" s="60">
        <v>187</v>
      </c>
      <c r="D687" s="60">
        <v>160</v>
      </c>
      <c r="E687" s="60" t="str">
        <f>tbl_performance[[#This Row],[employee_id]]&amp;"-"&amp;TEXT(tbl_performance[[#This Row],[month]],"mm")</f>
        <v>EMP1063-04</v>
      </c>
      <c r="F687" s="60">
        <f>COUNTIF(tbl_performance[employee_month_key],tbl_performance[[#This Row],[employee_month_key]])</f>
        <v>1</v>
      </c>
      <c r="G687" s="61">
        <f>tbl_performance[[#This Row],[achieved]]/tbl_performance[[#This Row],[target]]</f>
        <v>0.85561497326203206</v>
      </c>
      <c r="H687" s="60" t="str" cm="1">
        <f t="array" ref="H68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8" spans="1:8" ht="19.8" x14ac:dyDescent="0.65">
      <c r="A688" s="58" t="s">
        <v>160</v>
      </c>
      <c r="B688" s="59">
        <v>45778</v>
      </c>
      <c r="C688" s="60">
        <v>187</v>
      </c>
      <c r="D688" s="60">
        <v>162</v>
      </c>
      <c r="E688" s="60" t="str">
        <f>tbl_performance[[#This Row],[employee_id]]&amp;"-"&amp;TEXT(tbl_performance[[#This Row],[month]],"mm")</f>
        <v>EMP1063-05</v>
      </c>
      <c r="F688" s="60">
        <f>COUNTIF(tbl_performance[employee_month_key],tbl_performance[[#This Row],[employee_month_key]])</f>
        <v>1</v>
      </c>
      <c r="G688" s="61">
        <f>tbl_performance[[#This Row],[achieved]]/tbl_performance[[#This Row],[target]]</f>
        <v>0.86631016042780751</v>
      </c>
      <c r="H688" s="60" t="str" cm="1">
        <f t="array" ref="H6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89" spans="1:8" ht="19.8" x14ac:dyDescent="0.65">
      <c r="A689" s="58" t="s">
        <v>160</v>
      </c>
      <c r="B689" s="59">
        <v>45809</v>
      </c>
      <c r="C689" s="60">
        <v>183</v>
      </c>
      <c r="D689" s="60">
        <v>157</v>
      </c>
      <c r="E689" s="60" t="str">
        <f>tbl_performance[[#This Row],[employee_id]]&amp;"-"&amp;TEXT(tbl_performance[[#This Row],[month]],"mm")</f>
        <v>EMP1063-06</v>
      </c>
      <c r="F689" s="60">
        <f>COUNTIF(tbl_performance[employee_month_key],tbl_performance[[#This Row],[employee_month_key]])</f>
        <v>1</v>
      </c>
      <c r="G689" s="61">
        <f>tbl_performance[[#This Row],[achieved]]/tbl_performance[[#This Row],[target]]</f>
        <v>0.85792349726775952</v>
      </c>
      <c r="H689" s="60" t="str" cm="1">
        <f t="array" ref="H6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0" spans="1:8" ht="19.8" x14ac:dyDescent="0.65">
      <c r="A690" s="58" t="s">
        <v>160</v>
      </c>
      <c r="B690" s="59">
        <v>45839</v>
      </c>
      <c r="C690" s="60">
        <v>187</v>
      </c>
      <c r="D690" s="60">
        <v>143</v>
      </c>
      <c r="E690" s="60" t="str">
        <f>tbl_performance[[#This Row],[employee_id]]&amp;"-"&amp;TEXT(tbl_performance[[#This Row],[month]],"mm")</f>
        <v>EMP1063-07</v>
      </c>
      <c r="F690" s="60">
        <f>COUNTIF(tbl_performance[employee_month_key],tbl_performance[[#This Row],[employee_month_key]])</f>
        <v>1</v>
      </c>
      <c r="G690" s="61">
        <f>tbl_performance[[#This Row],[achieved]]/tbl_performance[[#This Row],[target]]</f>
        <v>0.76470588235294112</v>
      </c>
      <c r="H690" s="60" t="str" cm="1">
        <f t="array" ref="H690">_xlfn.IFS(tbl_performance[[#This Row],[performance_pct]]&gt;=1.1,"Excellent",tbl_performance[[#This Row],[performance_pct]]&gt;=1,"Good",tbl_performance[[#This Row],[performance_pct]]&gt;=0.85,"Average",TRUE,"Poor")</f>
        <v>Poor</v>
      </c>
    </row>
    <row r="691" spans="1:8" ht="19.8" x14ac:dyDescent="0.65">
      <c r="A691" s="58" t="s">
        <v>160</v>
      </c>
      <c r="B691" s="59">
        <v>45870</v>
      </c>
      <c r="C691" s="60">
        <v>181</v>
      </c>
      <c r="D691" s="60">
        <v>141</v>
      </c>
      <c r="E691" s="60" t="str">
        <f>tbl_performance[[#This Row],[employee_id]]&amp;"-"&amp;TEXT(tbl_performance[[#This Row],[month]],"mm")</f>
        <v>EMP1063-08</v>
      </c>
      <c r="F691" s="60">
        <f>COUNTIF(tbl_performance[employee_month_key],tbl_performance[[#This Row],[employee_month_key]])</f>
        <v>1</v>
      </c>
      <c r="G691" s="61">
        <f>tbl_performance[[#This Row],[achieved]]/tbl_performance[[#This Row],[target]]</f>
        <v>0.77900552486187846</v>
      </c>
      <c r="H691" s="60" t="str" cm="1">
        <f t="array" ref="H691">_xlfn.IFS(tbl_performance[[#This Row],[performance_pct]]&gt;=1.1,"Excellent",tbl_performance[[#This Row],[performance_pct]]&gt;=1,"Good",tbl_performance[[#This Row],[performance_pct]]&gt;=0.85,"Average",TRUE,"Poor")</f>
        <v>Poor</v>
      </c>
    </row>
    <row r="692" spans="1:8" ht="19.8" x14ac:dyDescent="0.65">
      <c r="A692" s="58" t="s">
        <v>160</v>
      </c>
      <c r="B692" s="59">
        <v>45901</v>
      </c>
      <c r="C692" s="60">
        <v>187</v>
      </c>
      <c r="D692" s="60">
        <v>182</v>
      </c>
      <c r="E692" s="60" t="str">
        <f>tbl_performance[[#This Row],[employee_id]]&amp;"-"&amp;TEXT(tbl_performance[[#This Row],[month]],"mm")</f>
        <v>EMP1063-09</v>
      </c>
      <c r="F692" s="60">
        <f>COUNTIF(tbl_performance[employee_month_key],tbl_performance[[#This Row],[employee_month_key]])</f>
        <v>1</v>
      </c>
      <c r="G692" s="61">
        <f>tbl_performance[[#This Row],[achieved]]/tbl_performance[[#This Row],[target]]</f>
        <v>0.9732620320855615</v>
      </c>
      <c r="H692" s="60" t="str" cm="1">
        <f t="array" ref="H69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3" spans="1:8" ht="19.8" x14ac:dyDescent="0.65">
      <c r="A693" s="58" t="s">
        <v>160</v>
      </c>
      <c r="B693" s="59">
        <v>45931</v>
      </c>
      <c r="C693" s="60">
        <v>190</v>
      </c>
      <c r="D693" s="60">
        <v>187</v>
      </c>
      <c r="E693" s="60" t="str">
        <f>tbl_performance[[#This Row],[employee_id]]&amp;"-"&amp;TEXT(tbl_performance[[#This Row],[month]],"mm")</f>
        <v>EMP1063-10</v>
      </c>
      <c r="F693" s="60">
        <f>COUNTIF(tbl_performance[employee_month_key],tbl_performance[[#This Row],[employee_month_key]])</f>
        <v>1</v>
      </c>
      <c r="G693" s="61">
        <f>tbl_performance[[#This Row],[achieved]]/tbl_performance[[#This Row],[target]]</f>
        <v>0.98421052631578942</v>
      </c>
      <c r="H693" s="60" t="str" cm="1">
        <f t="array" ref="H69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4" spans="1:8" ht="19.8" x14ac:dyDescent="0.65">
      <c r="A694" s="58" t="s">
        <v>160</v>
      </c>
      <c r="B694" s="59">
        <v>45962</v>
      </c>
      <c r="C694" s="60">
        <v>187</v>
      </c>
      <c r="D694" s="60">
        <v>172</v>
      </c>
      <c r="E694" s="60" t="str">
        <f>tbl_performance[[#This Row],[employee_id]]&amp;"-"&amp;TEXT(tbl_performance[[#This Row],[month]],"mm")</f>
        <v>EMP1063-11</v>
      </c>
      <c r="F694" s="60">
        <f>COUNTIF(tbl_performance[employee_month_key],tbl_performance[[#This Row],[employee_month_key]])</f>
        <v>1</v>
      </c>
      <c r="G694" s="61">
        <f>tbl_performance[[#This Row],[achieved]]/tbl_performance[[#This Row],[target]]</f>
        <v>0.9197860962566845</v>
      </c>
      <c r="H694" s="60" t="str" cm="1">
        <f t="array" ref="H69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5" spans="1:8" ht="19.8" x14ac:dyDescent="0.65">
      <c r="A695" s="58" t="s">
        <v>160</v>
      </c>
      <c r="B695" s="59">
        <v>45992</v>
      </c>
      <c r="C695" s="60">
        <v>159</v>
      </c>
      <c r="D695" s="60">
        <v>142</v>
      </c>
      <c r="E695" s="60" t="str">
        <f>tbl_performance[[#This Row],[employee_id]]&amp;"-"&amp;TEXT(tbl_performance[[#This Row],[month]],"mm")</f>
        <v>EMP1063-12</v>
      </c>
      <c r="F695" s="60">
        <f>COUNTIF(tbl_performance[employee_month_key],tbl_performance[[#This Row],[employee_month_key]])</f>
        <v>1</v>
      </c>
      <c r="G695" s="61">
        <f>tbl_performance[[#This Row],[achieved]]/tbl_performance[[#This Row],[target]]</f>
        <v>0.89308176100628933</v>
      </c>
      <c r="H695" s="60" t="str" cm="1">
        <f t="array" ref="H69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6" spans="1:8" ht="19.8" x14ac:dyDescent="0.65">
      <c r="A696" s="58" t="s">
        <v>162</v>
      </c>
      <c r="B696" s="59">
        <v>45658</v>
      </c>
      <c r="C696" s="60">
        <v>184</v>
      </c>
      <c r="D696" s="60">
        <v>162</v>
      </c>
      <c r="E696" s="60" t="str">
        <f>tbl_performance[[#This Row],[employee_id]]&amp;"-"&amp;TEXT(tbl_performance[[#This Row],[month]],"mm")</f>
        <v>EMP1064-01</v>
      </c>
      <c r="F696" s="60">
        <f>COUNTIF(tbl_performance[employee_month_key],tbl_performance[[#This Row],[employee_month_key]])</f>
        <v>1</v>
      </c>
      <c r="G696" s="61">
        <f>tbl_performance[[#This Row],[achieved]]/tbl_performance[[#This Row],[target]]</f>
        <v>0.88043478260869568</v>
      </c>
      <c r="H696" s="60" t="str" cm="1">
        <f t="array" ref="H69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7" spans="1:8" ht="19.8" x14ac:dyDescent="0.65">
      <c r="A697" s="58" t="s">
        <v>162</v>
      </c>
      <c r="B697" s="59">
        <v>45689</v>
      </c>
      <c r="C697" s="60">
        <v>172</v>
      </c>
      <c r="D697" s="60">
        <v>163</v>
      </c>
      <c r="E697" s="60" t="str">
        <f>tbl_performance[[#This Row],[employee_id]]&amp;"-"&amp;TEXT(tbl_performance[[#This Row],[month]],"mm")</f>
        <v>EMP1064-02</v>
      </c>
      <c r="F697" s="60">
        <f>COUNTIF(tbl_performance[employee_month_key],tbl_performance[[#This Row],[employee_month_key]])</f>
        <v>1</v>
      </c>
      <c r="G697" s="61">
        <f>tbl_performance[[#This Row],[achieved]]/tbl_performance[[#This Row],[target]]</f>
        <v>0.94767441860465118</v>
      </c>
      <c r="H697" s="60" t="str" cm="1">
        <f t="array" ref="H69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8" spans="1:8" ht="19.8" x14ac:dyDescent="0.65">
      <c r="A698" s="58" t="s">
        <v>162</v>
      </c>
      <c r="B698" s="59">
        <v>45717</v>
      </c>
      <c r="C698" s="60">
        <v>188</v>
      </c>
      <c r="D698" s="60">
        <v>173</v>
      </c>
      <c r="E698" s="60" t="str">
        <f>tbl_performance[[#This Row],[employee_id]]&amp;"-"&amp;TEXT(tbl_performance[[#This Row],[month]],"mm")</f>
        <v>EMP1064-03</v>
      </c>
      <c r="F698" s="60">
        <f>COUNTIF(tbl_performance[employee_month_key],tbl_performance[[#This Row],[employee_month_key]])</f>
        <v>1</v>
      </c>
      <c r="G698" s="61">
        <f>tbl_performance[[#This Row],[achieved]]/tbl_performance[[#This Row],[target]]</f>
        <v>0.92021276595744683</v>
      </c>
      <c r="H698" s="60" t="str" cm="1">
        <f t="array" ref="H69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699" spans="1:8" ht="19.8" x14ac:dyDescent="0.65">
      <c r="A699" s="58" t="s">
        <v>162</v>
      </c>
      <c r="B699" s="59">
        <v>45748</v>
      </c>
      <c r="C699" s="60">
        <v>184</v>
      </c>
      <c r="D699" s="60">
        <v>152</v>
      </c>
      <c r="E699" s="60" t="str">
        <f>tbl_performance[[#This Row],[employee_id]]&amp;"-"&amp;TEXT(tbl_performance[[#This Row],[month]],"mm")</f>
        <v>EMP1064-04</v>
      </c>
      <c r="F699" s="60">
        <f>COUNTIF(tbl_performance[employee_month_key],tbl_performance[[#This Row],[employee_month_key]])</f>
        <v>1</v>
      </c>
      <c r="G699" s="61">
        <f>tbl_performance[[#This Row],[achieved]]/tbl_performance[[#This Row],[target]]</f>
        <v>0.82608695652173914</v>
      </c>
      <c r="H699" s="60" t="str" cm="1">
        <f t="array" ref="H699">_xlfn.IFS(tbl_performance[[#This Row],[performance_pct]]&gt;=1.1,"Excellent",tbl_performance[[#This Row],[performance_pct]]&gt;=1,"Good",tbl_performance[[#This Row],[performance_pct]]&gt;=0.85,"Average",TRUE,"Poor")</f>
        <v>Poor</v>
      </c>
    </row>
    <row r="700" spans="1:8" ht="19.8" x14ac:dyDescent="0.65">
      <c r="A700" s="58" t="s">
        <v>162</v>
      </c>
      <c r="B700" s="59">
        <v>45778</v>
      </c>
      <c r="C700" s="60">
        <v>184</v>
      </c>
      <c r="D700" s="60">
        <v>183</v>
      </c>
      <c r="E700" s="60" t="str">
        <f>tbl_performance[[#This Row],[employee_id]]&amp;"-"&amp;TEXT(tbl_performance[[#This Row],[month]],"mm")</f>
        <v>EMP1064-05</v>
      </c>
      <c r="F700" s="60">
        <f>COUNTIF(tbl_performance[employee_month_key],tbl_performance[[#This Row],[employee_month_key]])</f>
        <v>1</v>
      </c>
      <c r="G700" s="61">
        <f>tbl_performance[[#This Row],[achieved]]/tbl_performance[[#This Row],[target]]</f>
        <v>0.99456521739130432</v>
      </c>
      <c r="H700" s="60" t="str" cm="1">
        <f t="array" ref="H70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1" spans="1:8" ht="19.8" x14ac:dyDescent="0.65">
      <c r="A701" s="58" t="s">
        <v>162</v>
      </c>
      <c r="B701" s="59">
        <v>45809</v>
      </c>
      <c r="C701" s="60">
        <v>181</v>
      </c>
      <c r="D701" s="60">
        <v>183</v>
      </c>
      <c r="E701" s="60" t="str">
        <f>tbl_performance[[#This Row],[employee_id]]&amp;"-"&amp;TEXT(tbl_performance[[#This Row],[month]],"mm")</f>
        <v>EMP1064-06</v>
      </c>
      <c r="F701" s="60">
        <f>COUNTIF(tbl_performance[employee_month_key],tbl_performance[[#This Row],[employee_month_key]])</f>
        <v>1</v>
      </c>
      <c r="G701" s="61">
        <f>tbl_performance[[#This Row],[achieved]]/tbl_performance[[#This Row],[target]]</f>
        <v>1.011049723756906</v>
      </c>
      <c r="H701" s="60" t="str" cm="1">
        <f t="array" ref="H701">_xlfn.IFS(tbl_performance[[#This Row],[performance_pct]]&gt;=1.1,"Excellent",tbl_performance[[#This Row],[performance_pct]]&gt;=1,"Good",tbl_performance[[#This Row],[performance_pct]]&gt;=0.85,"Average",TRUE,"Poor")</f>
        <v>Good</v>
      </c>
    </row>
    <row r="702" spans="1:8" ht="19.8" x14ac:dyDescent="0.65">
      <c r="A702" s="58" t="s">
        <v>162</v>
      </c>
      <c r="B702" s="59">
        <v>45839</v>
      </c>
      <c r="C702" s="60">
        <v>184</v>
      </c>
      <c r="D702" s="60">
        <v>161</v>
      </c>
      <c r="E702" s="60" t="str">
        <f>tbl_performance[[#This Row],[employee_id]]&amp;"-"&amp;TEXT(tbl_performance[[#This Row],[month]],"mm")</f>
        <v>EMP1064-07</v>
      </c>
      <c r="F702" s="60">
        <f>COUNTIF(tbl_performance[employee_month_key],tbl_performance[[#This Row],[employee_month_key]])</f>
        <v>1</v>
      </c>
      <c r="G702" s="61">
        <f>tbl_performance[[#This Row],[achieved]]/tbl_performance[[#This Row],[target]]</f>
        <v>0.875</v>
      </c>
      <c r="H702" s="60" t="str" cm="1">
        <f t="array" ref="H70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3" spans="1:8" ht="19.8" x14ac:dyDescent="0.65">
      <c r="A703" s="58" t="s">
        <v>162</v>
      </c>
      <c r="B703" s="59">
        <v>45870</v>
      </c>
      <c r="C703" s="60">
        <v>179</v>
      </c>
      <c r="D703" s="60">
        <v>132</v>
      </c>
      <c r="E703" s="60" t="str">
        <f>tbl_performance[[#This Row],[employee_id]]&amp;"-"&amp;TEXT(tbl_performance[[#This Row],[month]],"mm")</f>
        <v>EMP1064-08</v>
      </c>
      <c r="F703" s="60">
        <f>COUNTIF(tbl_performance[employee_month_key],tbl_performance[[#This Row],[employee_month_key]])</f>
        <v>1</v>
      </c>
      <c r="G703" s="61">
        <f>tbl_performance[[#This Row],[achieved]]/tbl_performance[[#This Row],[target]]</f>
        <v>0.73743016759776536</v>
      </c>
      <c r="H703" s="60" t="str" cm="1">
        <f t="array" ref="H703">_xlfn.IFS(tbl_performance[[#This Row],[performance_pct]]&gt;=1.1,"Excellent",tbl_performance[[#This Row],[performance_pct]]&gt;=1,"Good",tbl_performance[[#This Row],[performance_pct]]&gt;=0.85,"Average",TRUE,"Poor")</f>
        <v>Poor</v>
      </c>
    </row>
    <row r="704" spans="1:8" ht="19.8" x14ac:dyDescent="0.65">
      <c r="A704" s="58" t="s">
        <v>162</v>
      </c>
      <c r="B704" s="59">
        <v>45901</v>
      </c>
      <c r="C704" s="60">
        <v>184</v>
      </c>
      <c r="D704" s="60">
        <v>161</v>
      </c>
      <c r="E704" s="60" t="str">
        <f>tbl_performance[[#This Row],[employee_id]]&amp;"-"&amp;TEXT(tbl_performance[[#This Row],[month]],"mm")</f>
        <v>EMP1064-09</v>
      </c>
      <c r="F704" s="60">
        <f>COUNTIF(tbl_performance[employee_month_key],tbl_performance[[#This Row],[employee_month_key]])</f>
        <v>1</v>
      </c>
      <c r="G704" s="61">
        <f>tbl_performance[[#This Row],[achieved]]/tbl_performance[[#This Row],[target]]</f>
        <v>0.875</v>
      </c>
      <c r="H704" s="60" t="str" cm="1">
        <f t="array" ref="H7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5" spans="1:8" ht="19.8" x14ac:dyDescent="0.65">
      <c r="A705" s="58" t="s">
        <v>162</v>
      </c>
      <c r="B705" s="59">
        <v>45931</v>
      </c>
      <c r="C705" s="60">
        <v>188</v>
      </c>
      <c r="D705" s="60">
        <v>175</v>
      </c>
      <c r="E705" s="60" t="str">
        <f>tbl_performance[[#This Row],[employee_id]]&amp;"-"&amp;TEXT(tbl_performance[[#This Row],[month]],"mm")</f>
        <v>EMP1064-10</v>
      </c>
      <c r="F705" s="60">
        <f>COUNTIF(tbl_performance[employee_month_key],tbl_performance[[#This Row],[employee_month_key]])</f>
        <v>1</v>
      </c>
      <c r="G705" s="61">
        <f>tbl_performance[[#This Row],[achieved]]/tbl_performance[[#This Row],[target]]</f>
        <v>0.93085106382978722</v>
      </c>
      <c r="H705" s="60" t="str" cm="1">
        <f t="array" ref="H7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6" spans="1:8" ht="19.8" x14ac:dyDescent="0.65">
      <c r="A706" s="58" t="s">
        <v>162</v>
      </c>
      <c r="B706" s="59">
        <v>45962</v>
      </c>
      <c r="C706" s="60">
        <v>184</v>
      </c>
      <c r="D706" s="60">
        <v>174</v>
      </c>
      <c r="E706" s="60" t="str">
        <f>tbl_performance[[#This Row],[employee_id]]&amp;"-"&amp;TEXT(tbl_performance[[#This Row],[month]],"mm")</f>
        <v>EMP1064-11</v>
      </c>
      <c r="F706" s="60">
        <f>COUNTIF(tbl_performance[employee_month_key],tbl_performance[[#This Row],[employee_month_key]])</f>
        <v>1</v>
      </c>
      <c r="G706" s="61">
        <f>tbl_performance[[#This Row],[achieved]]/tbl_performance[[#This Row],[target]]</f>
        <v>0.94565217391304346</v>
      </c>
      <c r="H706" s="60" t="str" cm="1">
        <f t="array" ref="H70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7" spans="1:8" ht="19.8" x14ac:dyDescent="0.65">
      <c r="A707" s="58" t="s">
        <v>162</v>
      </c>
      <c r="B707" s="59">
        <v>45992</v>
      </c>
      <c r="C707" s="60">
        <v>157</v>
      </c>
      <c r="D707" s="60">
        <v>149</v>
      </c>
      <c r="E707" s="60" t="str">
        <f>tbl_performance[[#This Row],[employee_id]]&amp;"-"&amp;TEXT(tbl_performance[[#This Row],[month]],"mm")</f>
        <v>EMP1064-12</v>
      </c>
      <c r="F707" s="60">
        <f>COUNTIF(tbl_performance[employee_month_key],tbl_performance[[#This Row],[employee_month_key]])</f>
        <v>1</v>
      </c>
      <c r="G707" s="61">
        <f>tbl_performance[[#This Row],[achieved]]/tbl_performance[[#This Row],[target]]</f>
        <v>0.94904458598726116</v>
      </c>
      <c r="H707" s="60" t="str" cm="1">
        <f t="array" ref="H7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08" spans="1:8" ht="19.8" x14ac:dyDescent="0.65">
      <c r="A708" s="58" t="s">
        <v>164</v>
      </c>
      <c r="B708" s="59">
        <v>45658</v>
      </c>
      <c r="C708" s="60">
        <v>190</v>
      </c>
      <c r="D708" s="60">
        <v>157</v>
      </c>
      <c r="E708" s="60" t="str">
        <f>tbl_performance[[#This Row],[employee_id]]&amp;"-"&amp;TEXT(tbl_performance[[#This Row],[month]],"mm")</f>
        <v>EMP1065-01</v>
      </c>
      <c r="F708" s="60">
        <f>COUNTIF(tbl_performance[employee_month_key],tbl_performance[[#This Row],[employee_month_key]])</f>
        <v>1</v>
      </c>
      <c r="G708" s="61">
        <f>tbl_performance[[#This Row],[achieved]]/tbl_performance[[#This Row],[target]]</f>
        <v>0.82631578947368423</v>
      </c>
      <c r="H708" s="60" t="str" cm="1">
        <f t="array" ref="H708">_xlfn.IFS(tbl_performance[[#This Row],[performance_pct]]&gt;=1.1,"Excellent",tbl_performance[[#This Row],[performance_pct]]&gt;=1,"Good",tbl_performance[[#This Row],[performance_pct]]&gt;=0.85,"Average",TRUE,"Poor")</f>
        <v>Poor</v>
      </c>
    </row>
    <row r="709" spans="1:8" ht="19.8" x14ac:dyDescent="0.65">
      <c r="A709" s="58" t="s">
        <v>164</v>
      </c>
      <c r="B709" s="59">
        <v>45689</v>
      </c>
      <c r="C709" s="60">
        <v>177</v>
      </c>
      <c r="D709" s="60">
        <v>140</v>
      </c>
      <c r="E709" s="60" t="str">
        <f>tbl_performance[[#This Row],[employee_id]]&amp;"-"&amp;TEXT(tbl_performance[[#This Row],[month]],"mm")</f>
        <v>EMP1065-02</v>
      </c>
      <c r="F709" s="60">
        <f>COUNTIF(tbl_performance[employee_month_key],tbl_performance[[#This Row],[employee_month_key]])</f>
        <v>1</v>
      </c>
      <c r="G709" s="61">
        <f>tbl_performance[[#This Row],[achieved]]/tbl_performance[[#This Row],[target]]</f>
        <v>0.79096045197740117</v>
      </c>
      <c r="H709" s="60" t="str" cm="1">
        <f t="array" ref="H709">_xlfn.IFS(tbl_performance[[#This Row],[performance_pct]]&gt;=1.1,"Excellent",tbl_performance[[#This Row],[performance_pct]]&gt;=1,"Good",tbl_performance[[#This Row],[performance_pct]]&gt;=0.85,"Average",TRUE,"Poor")</f>
        <v>Poor</v>
      </c>
    </row>
    <row r="710" spans="1:8" ht="19.8" x14ac:dyDescent="0.65">
      <c r="A710" s="58" t="s">
        <v>164</v>
      </c>
      <c r="B710" s="59">
        <v>45717</v>
      </c>
      <c r="C710" s="60">
        <v>194</v>
      </c>
      <c r="D710" s="60">
        <v>161</v>
      </c>
      <c r="E710" s="60" t="str">
        <f>tbl_performance[[#This Row],[employee_id]]&amp;"-"&amp;TEXT(tbl_performance[[#This Row],[month]],"mm")</f>
        <v>EMP1065-03</v>
      </c>
      <c r="F710" s="60">
        <f>COUNTIF(tbl_performance[employee_month_key],tbl_performance[[#This Row],[employee_month_key]])</f>
        <v>1</v>
      </c>
      <c r="G710" s="61">
        <f>tbl_performance[[#This Row],[achieved]]/tbl_performance[[#This Row],[target]]</f>
        <v>0.82989690721649489</v>
      </c>
      <c r="H710" s="60" t="str" cm="1">
        <f t="array" ref="H710">_xlfn.IFS(tbl_performance[[#This Row],[performance_pct]]&gt;=1.1,"Excellent",tbl_performance[[#This Row],[performance_pct]]&gt;=1,"Good",tbl_performance[[#This Row],[performance_pct]]&gt;=0.85,"Average",TRUE,"Poor")</f>
        <v>Poor</v>
      </c>
    </row>
    <row r="711" spans="1:8" ht="19.8" x14ac:dyDescent="0.65">
      <c r="A711" s="58" t="s">
        <v>164</v>
      </c>
      <c r="B711" s="59">
        <v>45748</v>
      </c>
      <c r="C711" s="60">
        <v>190</v>
      </c>
      <c r="D711" s="60">
        <v>165</v>
      </c>
      <c r="E711" s="60" t="str">
        <f>tbl_performance[[#This Row],[employee_id]]&amp;"-"&amp;TEXT(tbl_performance[[#This Row],[month]],"mm")</f>
        <v>EMP1065-04</v>
      </c>
      <c r="F711" s="60">
        <f>COUNTIF(tbl_performance[employee_month_key],tbl_performance[[#This Row],[employee_month_key]])</f>
        <v>1</v>
      </c>
      <c r="G711" s="61">
        <f>tbl_performance[[#This Row],[achieved]]/tbl_performance[[#This Row],[target]]</f>
        <v>0.86842105263157898</v>
      </c>
      <c r="H711" s="60" t="str" cm="1">
        <f t="array" ref="H71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12" spans="1:8" ht="19.8" x14ac:dyDescent="0.65">
      <c r="A712" s="58" t="s">
        <v>164</v>
      </c>
      <c r="B712" s="59">
        <v>45778</v>
      </c>
      <c r="C712" s="60">
        <v>190</v>
      </c>
      <c r="D712" s="60">
        <v>184</v>
      </c>
      <c r="E712" s="60" t="str">
        <f>tbl_performance[[#This Row],[employee_id]]&amp;"-"&amp;TEXT(tbl_performance[[#This Row],[month]],"mm")</f>
        <v>EMP1065-05</v>
      </c>
      <c r="F712" s="60">
        <f>COUNTIF(tbl_performance[employee_month_key],tbl_performance[[#This Row],[employee_month_key]])</f>
        <v>1</v>
      </c>
      <c r="G712" s="61">
        <f>tbl_performance[[#This Row],[achieved]]/tbl_performance[[#This Row],[target]]</f>
        <v>0.96842105263157896</v>
      </c>
      <c r="H712" s="60" t="str" cm="1">
        <f t="array" ref="H7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13" spans="1:8" ht="19.8" x14ac:dyDescent="0.65">
      <c r="A713" s="58" t="s">
        <v>164</v>
      </c>
      <c r="B713" s="59">
        <v>45809</v>
      </c>
      <c r="C713" s="60">
        <v>187</v>
      </c>
      <c r="D713" s="60">
        <v>157</v>
      </c>
      <c r="E713" s="60" t="str">
        <f>tbl_performance[[#This Row],[employee_id]]&amp;"-"&amp;TEXT(tbl_performance[[#This Row],[month]],"mm")</f>
        <v>EMP1065-06</v>
      </c>
      <c r="F713" s="60">
        <f>COUNTIF(tbl_performance[employee_month_key],tbl_performance[[#This Row],[employee_month_key]])</f>
        <v>1</v>
      </c>
      <c r="G713" s="61">
        <f>tbl_performance[[#This Row],[achieved]]/tbl_performance[[#This Row],[target]]</f>
        <v>0.83957219251336901</v>
      </c>
      <c r="H713" s="60" t="str" cm="1">
        <f t="array" ref="H713">_xlfn.IFS(tbl_performance[[#This Row],[performance_pct]]&gt;=1.1,"Excellent",tbl_performance[[#This Row],[performance_pct]]&gt;=1,"Good",tbl_performance[[#This Row],[performance_pct]]&gt;=0.85,"Average",TRUE,"Poor")</f>
        <v>Poor</v>
      </c>
    </row>
    <row r="714" spans="1:8" ht="19.8" x14ac:dyDescent="0.65">
      <c r="A714" s="58" t="s">
        <v>164</v>
      </c>
      <c r="B714" s="59">
        <v>45839</v>
      </c>
      <c r="C714" s="60">
        <v>190</v>
      </c>
      <c r="D714" s="60">
        <v>167</v>
      </c>
      <c r="E714" s="60" t="str">
        <f>tbl_performance[[#This Row],[employee_id]]&amp;"-"&amp;TEXT(tbl_performance[[#This Row],[month]],"mm")</f>
        <v>EMP1065-07</v>
      </c>
      <c r="F714" s="60">
        <f>COUNTIF(tbl_performance[employee_month_key],tbl_performance[[#This Row],[employee_month_key]])</f>
        <v>1</v>
      </c>
      <c r="G714" s="61">
        <f>tbl_performance[[#This Row],[achieved]]/tbl_performance[[#This Row],[target]]</f>
        <v>0.87894736842105259</v>
      </c>
      <c r="H714" s="60" t="str" cm="1">
        <f t="array" ref="H71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15" spans="1:8" ht="19.8" x14ac:dyDescent="0.65">
      <c r="A715" s="58" t="s">
        <v>164</v>
      </c>
      <c r="B715" s="59">
        <v>45870</v>
      </c>
      <c r="C715" s="60">
        <v>185</v>
      </c>
      <c r="D715" s="60">
        <v>133</v>
      </c>
      <c r="E715" s="60" t="str">
        <f>tbl_performance[[#This Row],[employee_id]]&amp;"-"&amp;TEXT(tbl_performance[[#This Row],[month]],"mm")</f>
        <v>EMP1065-08</v>
      </c>
      <c r="F715" s="60">
        <f>COUNTIF(tbl_performance[employee_month_key],tbl_performance[[#This Row],[employee_month_key]])</f>
        <v>1</v>
      </c>
      <c r="G715" s="61">
        <f>tbl_performance[[#This Row],[achieved]]/tbl_performance[[#This Row],[target]]</f>
        <v>0.7189189189189189</v>
      </c>
      <c r="H715" s="60" t="str" cm="1">
        <f t="array" ref="H715">_xlfn.IFS(tbl_performance[[#This Row],[performance_pct]]&gt;=1.1,"Excellent",tbl_performance[[#This Row],[performance_pct]]&gt;=1,"Good",tbl_performance[[#This Row],[performance_pct]]&gt;=0.85,"Average",TRUE,"Poor")</f>
        <v>Poor</v>
      </c>
    </row>
    <row r="716" spans="1:8" ht="19.8" x14ac:dyDescent="0.65">
      <c r="A716" s="58" t="s">
        <v>164</v>
      </c>
      <c r="B716" s="59">
        <v>45901</v>
      </c>
      <c r="C716" s="60">
        <v>190</v>
      </c>
      <c r="D716" s="60">
        <v>168</v>
      </c>
      <c r="E716" s="60" t="str">
        <f>tbl_performance[[#This Row],[employee_id]]&amp;"-"&amp;TEXT(tbl_performance[[#This Row],[month]],"mm")</f>
        <v>EMP1065-09</v>
      </c>
      <c r="F716" s="60">
        <f>COUNTIF(tbl_performance[employee_month_key],tbl_performance[[#This Row],[employee_month_key]])</f>
        <v>1</v>
      </c>
      <c r="G716" s="61">
        <f>tbl_performance[[#This Row],[achieved]]/tbl_performance[[#This Row],[target]]</f>
        <v>0.88421052631578945</v>
      </c>
      <c r="H716" s="60" t="str" cm="1">
        <f t="array" ref="H71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17" spans="1:8" ht="19.8" x14ac:dyDescent="0.65">
      <c r="A717" s="58" t="s">
        <v>164</v>
      </c>
      <c r="B717" s="59">
        <v>45931</v>
      </c>
      <c r="C717" s="60">
        <v>194</v>
      </c>
      <c r="D717" s="60">
        <v>195</v>
      </c>
      <c r="E717" s="60" t="str">
        <f>tbl_performance[[#This Row],[employee_id]]&amp;"-"&amp;TEXT(tbl_performance[[#This Row],[month]],"mm")</f>
        <v>EMP1065-10</v>
      </c>
      <c r="F717" s="60">
        <f>COUNTIF(tbl_performance[employee_month_key],tbl_performance[[#This Row],[employee_month_key]])</f>
        <v>1</v>
      </c>
      <c r="G717" s="61">
        <f>tbl_performance[[#This Row],[achieved]]/tbl_performance[[#This Row],[target]]</f>
        <v>1.0051546391752577</v>
      </c>
      <c r="H717" s="60" t="str" cm="1">
        <f t="array" ref="H717">_xlfn.IFS(tbl_performance[[#This Row],[performance_pct]]&gt;=1.1,"Excellent",tbl_performance[[#This Row],[performance_pct]]&gt;=1,"Good",tbl_performance[[#This Row],[performance_pct]]&gt;=0.85,"Average",TRUE,"Poor")</f>
        <v>Good</v>
      </c>
    </row>
    <row r="718" spans="1:8" ht="19.8" x14ac:dyDescent="0.65">
      <c r="A718" s="58" t="s">
        <v>164</v>
      </c>
      <c r="B718" s="59">
        <v>45962</v>
      </c>
      <c r="C718" s="60">
        <v>190</v>
      </c>
      <c r="D718" s="60">
        <v>159</v>
      </c>
      <c r="E718" s="60" t="str">
        <f>tbl_performance[[#This Row],[employee_id]]&amp;"-"&amp;TEXT(tbl_performance[[#This Row],[month]],"mm")</f>
        <v>EMP1065-11</v>
      </c>
      <c r="F718" s="60">
        <f>COUNTIF(tbl_performance[employee_month_key],tbl_performance[[#This Row],[employee_month_key]])</f>
        <v>1</v>
      </c>
      <c r="G718" s="61">
        <f>tbl_performance[[#This Row],[achieved]]/tbl_performance[[#This Row],[target]]</f>
        <v>0.83684210526315794</v>
      </c>
      <c r="H718" s="60" t="str" cm="1">
        <f t="array" ref="H718">_xlfn.IFS(tbl_performance[[#This Row],[performance_pct]]&gt;=1.1,"Excellent",tbl_performance[[#This Row],[performance_pct]]&gt;=1,"Good",tbl_performance[[#This Row],[performance_pct]]&gt;=0.85,"Average",TRUE,"Poor")</f>
        <v>Poor</v>
      </c>
    </row>
    <row r="719" spans="1:8" ht="19.8" x14ac:dyDescent="0.65">
      <c r="A719" s="58" t="s">
        <v>164</v>
      </c>
      <c r="B719" s="59">
        <v>45992</v>
      </c>
      <c r="C719" s="60">
        <v>162</v>
      </c>
      <c r="D719" s="60">
        <v>125</v>
      </c>
      <c r="E719" s="60" t="str">
        <f>tbl_performance[[#This Row],[employee_id]]&amp;"-"&amp;TEXT(tbl_performance[[#This Row],[month]],"mm")</f>
        <v>EMP1065-12</v>
      </c>
      <c r="F719" s="60">
        <f>COUNTIF(tbl_performance[employee_month_key],tbl_performance[[#This Row],[employee_month_key]])</f>
        <v>1</v>
      </c>
      <c r="G719" s="61">
        <f>tbl_performance[[#This Row],[achieved]]/tbl_performance[[#This Row],[target]]</f>
        <v>0.77160493827160492</v>
      </c>
      <c r="H719" s="60" t="str" cm="1">
        <f t="array" ref="H719">_xlfn.IFS(tbl_performance[[#This Row],[performance_pct]]&gt;=1.1,"Excellent",tbl_performance[[#This Row],[performance_pct]]&gt;=1,"Good",tbl_performance[[#This Row],[performance_pct]]&gt;=0.85,"Average",TRUE,"Poor")</f>
        <v>Poor</v>
      </c>
    </row>
    <row r="720" spans="1:8" ht="19.8" x14ac:dyDescent="0.65">
      <c r="A720" s="58" t="s">
        <v>165</v>
      </c>
      <c r="B720" s="59">
        <v>45717</v>
      </c>
      <c r="C720" s="60">
        <v>106</v>
      </c>
      <c r="D720" s="60">
        <v>124</v>
      </c>
      <c r="E720" s="60" t="str">
        <f>tbl_performance[[#This Row],[employee_id]]&amp;"-"&amp;TEXT(tbl_performance[[#This Row],[month]],"mm")</f>
        <v>EMP1066-03</v>
      </c>
      <c r="F720" s="60">
        <f>COUNTIF(tbl_performance[employee_month_key],tbl_performance[[#This Row],[employee_month_key]])</f>
        <v>1</v>
      </c>
      <c r="G720" s="61">
        <f>tbl_performance[[#This Row],[achieved]]/tbl_performance[[#This Row],[target]]</f>
        <v>1.1698113207547169</v>
      </c>
      <c r="H720" s="60" t="str" cm="1">
        <f t="array" ref="H72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21" spans="1:8" ht="19.8" x14ac:dyDescent="0.65">
      <c r="A721" s="58" t="s">
        <v>165</v>
      </c>
      <c r="B721" s="59">
        <v>45748</v>
      </c>
      <c r="C721" s="60">
        <v>104</v>
      </c>
      <c r="D721" s="60">
        <v>121</v>
      </c>
      <c r="E721" s="60" t="str">
        <f>tbl_performance[[#This Row],[employee_id]]&amp;"-"&amp;TEXT(tbl_performance[[#This Row],[month]],"mm")</f>
        <v>EMP1066-04</v>
      </c>
      <c r="F721" s="60">
        <f>COUNTIF(tbl_performance[employee_month_key],tbl_performance[[#This Row],[employee_month_key]])</f>
        <v>1</v>
      </c>
      <c r="G721" s="61">
        <f>tbl_performance[[#This Row],[achieved]]/tbl_performance[[#This Row],[target]]</f>
        <v>1.1634615384615385</v>
      </c>
      <c r="H721" s="60" t="str" cm="1">
        <f t="array" ref="H72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22" spans="1:8" ht="19.8" x14ac:dyDescent="0.65">
      <c r="A722" s="58" t="s">
        <v>165</v>
      </c>
      <c r="B722" s="59">
        <v>45778</v>
      </c>
      <c r="C722" s="60">
        <v>104</v>
      </c>
      <c r="D722" s="60">
        <v>112</v>
      </c>
      <c r="E722" s="60" t="str">
        <f>tbl_performance[[#This Row],[employee_id]]&amp;"-"&amp;TEXT(tbl_performance[[#This Row],[month]],"mm")</f>
        <v>EMP1066-05</v>
      </c>
      <c r="F722" s="60">
        <f>COUNTIF(tbl_performance[employee_month_key],tbl_performance[[#This Row],[employee_month_key]])</f>
        <v>1</v>
      </c>
      <c r="G722" s="61">
        <f>tbl_performance[[#This Row],[achieved]]/tbl_performance[[#This Row],[target]]</f>
        <v>1.0769230769230769</v>
      </c>
      <c r="H722" s="60" t="str" cm="1">
        <f t="array" ref="H722">_xlfn.IFS(tbl_performance[[#This Row],[performance_pct]]&gt;=1.1,"Excellent",tbl_performance[[#This Row],[performance_pct]]&gt;=1,"Good",tbl_performance[[#This Row],[performance_pct]]&gt;=0.85,"Average",TRUE,"Poor")</f>
        <v>Good</v>
      </c>
    </row>
    <row r="723" spans="1:8" ht="19.8" x14ac:dyDescent="0.65">
      <c r="A723" s="58" t="s">
        <v>165</v>
      </c>
      <c r="B723" s="59">
        <v>45809</v>
      </c>
      <c r="C723" s="60">
        <v>102</v>
      </c>
      <c r="D723" s="60">
        <v>109</v>
      </c>
      <c r="E723" s="60" t="str">
        <f>tbl_performance[[#This Row],[employee_id]]&amp;"-"&amp;TEXT(tbl_performance[[#This Row],[month]],"mm")</f>
        <v>EMP1066-06</v>
      </c>
      <c r="F723" s="60">
        <f>COUNTIF(tbl_performance[employee_month_key],tbl_performance[[#This Row],[employee_month_key]])</f>
        <v>1</v>
      </c>
      <c r="G723" s="61">
        <f>tbl_performance[[#This Row],[achieved]]/tbl_performance[[#This Row],[target]]</f>
        <v>1.0686274509803921</v>
      </c>
      <c r="H723" s="60" t="str" cm="1">
        <f t="array" ref="H723">_xlfn.IFS(tbl_performance[[#This Row],[performance_pct]]&gt;=1.1,"Excellent",tbl_performance[[#This Row],[performance_pct]]&gt;=1,"Good",tbl_performance[[#This Row],[performance_pct]]&gt;=0.85,"Average",TRUE,"Poor")</f>
        <v>Good</v>
      </c>
    </row>
    <row r="724" spans="1:8" ht="19.8" x14ac:dyDescent="0.65">
      <c r="A724" s="58" t="s">
        <v>165</v>
      </c>
      <c r="B724" s="59">
        <v>45839</v>
      </c>
      <c r="C724" s="60">
        <v>104</v>
      </c>
      <c r="D724" s="60">
        <v>113</v>
      </c>
      <c r="E724" s="60" t="str">
        <f>tbl_performance[[#This Row],[employee_id]]&amp;"-"&amp;TEXT(tbl_performance[[#This Row],[month]],"mm")</f>
        <v>EMP1066-07</v>
      </c>
      <c r="F724" s="60">
        <f>COUNTIF(tbl_performance[employee_month_key],tbl_performance[[#This Row],[employee_month_key]])</f>
        <v>1</v>
      </c>
      <c r="G724" s="61">
        <f>tbl_performance[[#This Row],[achieved]]/tbl_performance[[#This Row],[target]]</f>
        <v>1.0865384615384615</v>
      </c>
      <c r="H724" s="60" t="str" cm="1">
        <f t="array" ref="H724">_xlfn.IFS(tbl_performance[[#This Row],[performance_pct]]&gt;=1.1,"Excellent",tbl_performance[[#This Row],[performance_pct]]&gt;=1,"Good",tbl_performance[[#This Row],[performance_pct]]&gt;=0.85,"Average",TRUE,"Poor")</f>
        <v>Good</v>
      </c>
    </row>
    <row r="725" spans="1:8" ht="19.8" x14ac:dyDescent="0.65">
      <c r="A725" s="58" t="s">
        <v>165</v>
      </c>
      <c r="B725" s="59">
        <v>45870</v>
      </c>
      <c r="C725" s="60">
        <v>101</v>
      </c>
      <c r="D725" s="60">
        <v>113</v>
      </c>
      <c r="E725" s="60" t="str">
        <f>tbl_performance[[#This Row],[employee_id]]&amp;"-"&amp;TEXT(tbl_performance[[#This Row],[month]],"mm")</f>
        <v>EMP1066-08</v>
      </c>
      <c r="F725" s="60">
        <f>COUNTIF(tbl_performance[employee_month_key],tbl_performance[[#This Row],[employee_month_key]])</f>
        <v>1</v>
      </c>
      <c r="G725" s="61">
        <f>tbl_performance[[#This Row],[achieved]]/tbl_performance[[#This Row],[target]]</f>
        <v>1.1188118811881189</v>
      </c>
      <c r="H725" s="60" t="str" cm="1">
        <f t="array" ref="H72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26" spans="1:8" ht="19.8" x14ac:dyDescent="0.65">
      <c r="A726" s="58" t="s">
        <v>165</v>
      </c>
      <c r="B726" s="59">
        <v>45901</v>
      </c>
      <c r="C726" s="60">
        <v>104</v>
      </c>
      <c r="D726" s="60">
        <v>114</v>
      </c>
      <c r="E726" s="60" t="str">
        <f>tbl_performance[[#This Row],[employee_id]]&amp;"-"&amp;TEXT(tbl_performance[[#This Row],[month]],"mm")</f>
        <v>EMP1066-09</v>
      </c>
      <c r="F726" s="60">
        <f>COUNTIF(tbl_performance[employee_month_key],tbl_performance[[#This Row],[employee_month_key]])</f>
        <v>1</v>
      </c>
      <c r="G726" s="61">
        <f>tbl_performance[[#This Row],[achieved]]/tbl_performance[[#This Row],[target]]</f>
        <v>1.0961538461538463</v>
      </c>
      <c r="H726" s="60" t="str" cm="1">
        <f t="array" ref="H726">_xlfn.IFS(tbl_performance[[#This Row],[performance_pct]]&gt;=1.1,"Excellent",tbl_performance[[#This Row],[performance_pct]]&gt;=1,"Good",tbl_performance[[#This Row],[performance_pct]]&gt;=0.85,"Average",TRUE,"Poor")</f>
        <v>Good</v>
      </c>
    </row>
    <row r="727" spans="1:8" ht="19.8" x14ac:dyDescent="0.65">
      <c r="A727" s="58" t="s">
        <v>165</v>
      </c>
      <c r="B727" s="59">
        <v>45931</v>
      </c>
      <c r="C727" s="60">
        <v>106</v>
      </c>
      <c r="D727" s="60">
        <v>114</v>
      </c>
      <c r="E727" s="60" t="str">
        <f>tbl_performance[[#This Row],[employee_id]]&amp;"-"&amp;TEXT(tbl_performance[[#This Row],[month]],"mm")</f>
        <v>EMP1066-10</v>
      </c>
      <c r="F727" s="60">
        <f>COUNTIF(tbl_performance[employee_month_key],tbl_performance[[#This Row],[employee_month_key]])</f>
        <v>1</v>
      </c>
      <c r="G727" s="61">
        <f>tbl_performance[[#This Row],[achieved]]/tbl_performance[[#This Row],[target]]</f>
        <v>1.0754716981132075</v>
      </c>
      <c r="H727" s="60" t="str" cm="1">
        <f t="array" ref="H727">_xlfn.IFS(tbl_performance[[#This Row],[performance_pct]]&gt;=1.1,"Excellent",tbl_performance[[#This Row],[performance_pct]]&gt;=1,"Good",tbl_performance[[#This Row],[performance_pct]]&gt;=0.85,"Average",TRUE,"Poor")</f>
        <v>Good</v>
      </c>
    </row>
    <row r="728" spans="1:8" ht="19.8" x14ac:dyDescent="0.65">
      <c r="A728" s="58" t="s">
        <v>165</v>
      </c>
      <c r="B728" s="59">
        <v>45962</v>
      </c>
      <c r="C728" s="60">
        <v>104</v>
      </c>
      <c r="D728" s="60">
        <v>127</v>
      </c>
      <c r="E728" s="60" t="str">
        <f>tbl_performance[[#This Row],[employee_id]]&amp;"-"&amp;TEXT(tbl_performance[[#This Row],[month]],"mm")</f>
        <v>EMP1066-11</v>
      </c>
      <c r="F728" s="60">
        <f>COUNTIF(tbl_performance[employee_month_key],tbl_performance[[#This Row],[employee_month_key]])</f>
        <v>1</v>
      </c>
      <c r="G728" s="61">
        <f>tbl_performance[[#This Row],[achieved]]/tbl_performance[[#This Row],[target]]</f>
        <v>1.2211538461538463</v>
      </c>
      <c r="H728" s="60" t="str" cm="1">
        <f t="array" ref="H72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29" spans="1:8" ht="19.8" x14ac:dyDescent="0.65">
      <c r="A729" s="58" t="s">
        <v>165</v>
      </c>
      <c r="B729" s="59">
        <v>45992</v>
      </c>
      <c r="C729" s="60">
        <v>89</v>
      </c>
      <c r="D729" s="60">
        <v>100</v>
      </c>
      <c r="E729" s="60" t="str">
        <f>tbl_performance[[#This Row],[employee_id]]&amp;"-"&amp;TEXT(tbl_performance[[#This Row],[month]],"mm")</f>
        <v>EMP1066-12</v>
      </c>
      <c r="F729" s="60">
        <f>COUNTIF(tbl_performance[employee_month_key],tbl_performance[[#This Row],[employee_month_key]])</f>
        <v>1</v>
      </c>
      <c r="G729" s="61">
        <f>tbl_performance[[#This Row],[achieved]]/tbl_performance[[#This Row],[target]]</f>
        <v>1.1235955056179776</v>
      </c>
      <c r="H729" s="60" t="str" cm="1">
        <f t="array" ref="H72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0" spans="1:8" ht="19.8" x14ac:dyDescent="0.65">
      <c r="A730" s="58" t="s">
        <v>168</v>
      </c>
      <c r="B730" s="59">
        <v>45658</v>
      </c>
      <c r="C730" s="60">
        <v>59</v>
      </c>
      <c r="D730" s="60">
        <v>67</v>
      </c>
      <c r="E730" s="60" t="str">
        <f>tbl_performance[[#This Row],[employee_id]]&amp;"-"&amp;TEXT(tbl_performance[[#This Row],[month]],"mm")</f>
        <v>EMP1067-01</v>
      </c>
      <c r="F730" s="60">
        <f>COUNTIF(tbl_performance[employee_month_key],tbl_performance[[#This Row],[employee_month_key]])</f>
        <v>1</v>
      </c>
      <c r="G730" s="61">
        <f>tbl_performance[[#This Row],[achieved]]/tbl_performance[[#This Row],[target]]</f>
        <v>1.1355932203389831</v>
      </c>
      <c r="H730" s="60" t="str" cm="1">
        <f t="array" ref="H73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1" spans="1:8" ht="19.8" x14ac:dyDescent="0.65">
      <c r="A731" s="58" t="s">
        <v>168</v>
      </c>
      <c r="B731" s="59">
        <v>45689</v>
      </c>
      <c r="C731" s="60">
        <v>55</v>
      </c>
      <c r="D731" s="60">
        <v>61</v>
      </c>
      <c r="E731" s="60" t="str">
        <f>tbl_performance[[#This Row],[employee_id]]&amp;"-"&amp;TEXT(tbl_performance[[#This Row],[month]],"mm")</f>
        <v>EMP1067-02</v>
      </c>
      <c r="F731" s="60">
        <f>COUNTIF(tbl_performance[employee_month_key],tbl_performance[[#This Row],[employee_month_key]])</f>
        <v>1</v>
      </c>
      <c r="G731" s="61">
        <f>tbl_performance[[#This Row],[achieved]]/tbl_performance[[#This Row],[target]]</f>
        <v>1.1090909090909091</v>
      </c>
      <c r="H731" s="60" t="str" cm="1">
        <f t="array" ref="H73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2" spans="1:8" ht="19.8" x14ac:dyDescent="0.65">
      <c r="A732" s="58" t="s">
        <v>168</v>
      </c>
      <c r="B732" s="59">
        <v>45717</v>
      </c>
      <c r="C732" s="60">
        <v>60</v>
      </c>
      <c r="D732" s="60">
        <v>65</v>
      </c>
      <c r="E732" s="60" t="str">
        <f>tbl_performance[[#This Row],[employee_id]]&amp;"-"&amp;TEXT(tbl_performance[[#This Row],[month]],"mm")</f>
        <v>EMP1067-03</v>
      </c>
      <c r="F732" s="60">
        <f>COUNTIF(tbl_performance[employee_month_key],tbl_performance[[#This Row],[employee_month_key]])</f>
        <v>1</v>
      </c>
      <c r="G732" s="61">
        <f>tbl_performance[[#This Row],[achieved]]/tbl_performance[[#This Row],[target]]</f>
        <v>1.0833333333333333</v>
      </c>
      <c r="H732" s="60" t="str" cm="1">
        <f t="array" ref="H732">_xlfn.IFS(tbl_performance[[#This Row],[performance_pct]]&gt;=1.1,"Excellent",tbl_performance[[#This Row],[performance_pct]]&gt;=1,"Good",tbl_performance[[#This Row],[performance_pct]]&gt;=0.85,"Average",TRUE,"Poor")</f>
        <v>Good</v>
      </c>
    </row>
    <row r="733" spans="1:8" ht="19.8" x14ac:dyDescent="0.65">
      <c r="A733" s="58" t="s">
        <v>168</v>
      </c>
      <c r="B733" s="59">
        <v>45748</v>
      </c>
      <c r="C733" s="60">
        <v>59</v>
      </c>
      <c r="D733" s="60">
        <v>68</v>
      </c>
      <c r="E733" s="60" t="str">
        <f>tbl_performance[[#This Row],[employee_id]]&amp;"-"&amp;TEXT(tbl_performance[[#This Row],[month]],"mm")</f>
        <v>EMP1067-04</v>
      </c>
      <c r="F733" s="60">
        <f>COUNTIF(tbl_performance[employee_month_key],tbl_performance[[#This Row],[employee_month_key]])</f>
        <v>1</v>
      </c>
      <c r="G733" s="61">
        <f>tbl_performance[[#This Row],[achieved]]/tbl_performance[[#This Row],[target]]</f>
        <v>1.152542372881356</v>
      </c>
      <c r="H733" s="60" t="str" cm="1">
        <f t="array" ref="H73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4" spans="1:8" ht="19.8" x14ac:dyDescent="0.65">
      <c r="A734" s="58" t="s">
        <v>168</v>
      </c>
      <c r="B734" s="59">
        <v>45778</v>
      </c>
      <c r="C734" s="60">
        <v>59</v>
      </c>
      <c r="D734" s="60">
        <v>65</v>
      </c>
      <c r="E734" s="60" t="str">
        <f>tbl_performance[[#This Row],[employee_id]]&amp;"-"&amp;TEXT(tbl_performance[[#This Row],[month]],"mm")</f>
        <v>EMP1067-05</v>
      </c>
      <c r="F734" s="60">
        <f>COUNTIF(tbl_performance[employee_month_key],tbl_performance[[#This Row],[employee_month_key]])</f>
        <v>1</v>
      </c>
      <c r="G734" s="61">
        <f>tbl_performance[[#This Row],[achieved]]/tbl_performance[[#This Row],[target]]</f>
        <v>1.1016949152542372</v>
      </c>
      <c r="H734" s="60" t="str" cm="1">
        <f t="array" ref="H73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5" spans="1:8" ht="19.8" x14ac:dyDescent="0.65">
      <c r="A735" s="58" t="s">
        <v>168</v>
      </c>
      <c r="B735" s="59">
        <v>45809</v>
      </c>
      <c r="C735" s="60">
        <v>58</v>
      </c>
      <c r="D735" s="60">
        <v>63</v>
      </c>
      <c r="E735" s="60" t="str">
        <f>tbl_performance[[#This Row],[employee_id]]&amp;"-"&amp;TEXT(tbl_performance[[#This Row],[month]],"mm")</f>
        <v>EMP1067-06</v>
      </c>
      <c r="F735" s="60">
        <f>COUNTIF(tbl_performance[employee_month_key],tbl_performance[[#This Row],[employee_month_key]])</f>
        <v>1</v>
      </c>
      <c r="G735" s="61">
        <f>tbl_performance[[#This Row],[achieved]]/tbl_performance[[#This Row],[target]]</f>
        <v>1.0862068965517242</v>
      </c>
      <c r="H735" s="60" t="str" cm="1">
        <f t="array" ref="H735">_xlfn.IFS(tbl_performance[[#This Row],[performance_pct]]&gt;=1.1,"Excellent",tbl_performance[[#This Row],[performance_pct]]&gt;=1,"Good",tbl_performance[[#This Row],[performance_pct]]&gt;=0.85,"Average",TRUE,"Poor")</f>
        <v>Good</v>
      </c>
    </row>
    <row r="736" spans="1:8" ht="19.8" x14ac:dyDescent="0.65">
      <c r="A736" s="58" t="s">
        <v>168</v>
      </c>
      <c r="B736" s="59">
        <v>45839</v>
      </c>
      <c r="C736" s="60">
        <v>59</v>
      </c>
      <c r="D736" s="60">
        <v>66</v>
      </c>
      <c r="E736" s="60" t="str">
        <f>tbl_performance[[#This Row],[employee_id]]&amp;"-"&amp;TEXT(tbl_performance[[#This Row],[month]],"mm")</f>
        <v>EMP1067-07</v>
      </c>
      <c r="F736" s="60">
        <f>COUNTIF(tbl_performance[employee_month_key],tbl_performance[[#This Row],[employee_month_key]])</f>
        <v>1</v>
      </c>
      <c r="G736" s="61">
        <f>tbl_performance[[#This Row],[achieved]]/tbl_performance[[#This Row],[target]]</f>
        <v>1.1186440677966101</v>
      </c>
      <c r="H736" s="60" t="str" cm="1">
        <f t="array" ref="H73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7" spans="1:8" ht="19.8" x14ac:dyDescent="0.65">
      <c r="A737" s="58" t="s">
        <v>168</v>
      </c>
      <c r="B737" s="59">
        <v>45870</v>
      </c>
      <c r="C737" s="60">
        <v>57</v>
      </c>
      <c r="D737" s="60">
        <v>64</v>
      </c>
      <c r="E737" s="60" t="str">
        <f>tbl_performance[[#This Row],[employee_id]]&amp;"-"&amp;TEXT(tbl_performance[[#This Row],[month]],"mm")</f>
        <v>EMP1067-08</v>
      </c>
      <c r="F737" s="60">
        <f>COUNTIF(tbl_performance[employee_month_key],tbl_performance[[#This Row],[employee_month_key]])</f>
        <v>1</v>
      </c>
      <c r="G737" s="61">
        <f>tbl_performance[[#This Row],[achieved]]/tbl_performance[[#This Row],[target]]</f>
        <v>1.1228070175438596</v>
      </c>
      <c r="H737" s="60" t="str" cm="1">
        <f t="array" ref="H73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8" spans="1:8" ht="19.8" x14ac:dyDescent="0.65">
      <c r="A738" s="58" t="s">
        <v>168</v>
      </c>
      <c r="B738" s="59">
        <v>45901</v>
      </c>
      <c r="C738" s="60">
        <v>59</v>
      </c>
      <c r="D738" s="60">
        <v>66</v>
      </c>
      <c r="E738" s="60" t="str">
        <f>tbl_performance[[#This Row],[employee_id]]&amp;"-"&amp;TEXT(tbl_performance[[#This Row],[month]],"mm")</f>
        <v>EMP1067-09</v>
      </c>
      <c r="F738" s="60">
        <f>COUNTIF(tbl_performance[employee_month_key],tbl_performance[[#This Row],[employee_month_key]])</f>
        <v>1</v>
      </c>
      <c r="G738" s="61">
        <f>tbl_performance[[#This Row],[achieved]]/tbl_performance[[#This Row],[target]]</f>
        <v>1.1186440677966101</v>
      </c>
      <c r="H738" s="60" t="str" cm="1">
        <f t="array" ref="H7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39" spans="1:8" ht="19.8" x14ac:dyDescent="0.65">
      <c r="A739" s="58" t="s">
        <v>168</v>
      </c>
      <c r="B739" s="59">
        <v>45931</v>
      </c>
      <c r="C739" s="60">
        <v>60</v>
      </c>
      <c r="D739" s="60">
        <v>68</v>
      </c>
      <c r="E739" s="60" t="str">
        <f>tbl_performance[[#This Row],[employee_id]]&amp;"-"&amp;TEXT(tbl_performance[[#This Row],[month]],"mm")</f>
        <v>EMP1067-10</v>
      </c>
      <c r="F739" s="60">
        <f>COUNTIF(tbl_performance[employee_month_key],tbl_performance[[#This Row],[employee_month_key]])</f>
        <v>1</v>
      </c>
      <c r="G739" s="61">
        <f>tbl_performance[[#This Row],[achieved]]/tbl_performance[[#This Row],[target]]</f>
        <v>1.1333333333333333</v>
      </c>
      <c r="H739" s="60" t="str" cm="1">
        <f t="array" ref="H73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40" spans="1:8" ht="19.8" x14ac:dyDescent="0.65">
      <c r="A740" s="58" t="s">
        <v>168</v>
      </c>
      <c r="B740" s="59">
        <v>45962</v>
      </c>
      <c r="C740" s="60">
        <v>59</v>
      </c>
      <c r="D740" s="60">
        <v>67</v>
      </c>
      <c r="E740" s="60" t="str">
        <f>tbl_performance[[#This Row],[employee_id]]&amp;"-"&amp;TEXT(tbl_performance[[#This Row],[month]],"mm")</f>
        <v>EMP1067-11</v>
      </c>
      <c r="F740" s="60">
        <f>COUNTIF(tbl_performance[employee_month_key],tbl_performance[[#This Row],[employee_month_key]])</f>
        <v>1</v>
      </c>
      <c r="G740" s="61">
        <f>tbl_performance[[#This Row],[achieved]]/tbl_performance[[#This Row],[target]]</f>
        <v>1.1355932203389831</v>
      </c>
      <c r="H740" s="60" t="str" cm="1">
        <f t="array" ref="H74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41" spans="1:8" ht="19.8" x14ac:dyDescent="0.65">
      <c r="A741" s="58" t="s">
        <v>168</v>
      </c>
      <c r="B741" s="59">
        <v>45992</v>
      </c>
      <c r="C741" s="60">
        <v>50</v>
      </c>
      <c r="D741" s="60">
        <v>52</v>
      </c>
      <c r="E741" s="60" t="str">
        <f>tbl_performance[[#This Row],[employee_id]]&amp;"-"&amp;TEXT(tbl_performance[[#This Row],[month]],"mm")</f>
        <v>EMP1067-12</v>
      </c>
      <c r="F741" s="60">
        <f>COUNTIF(tbl_performance[employee_month_key],tbl_performance[[#This Row],[employee_month_key]])</f>
        <v>1</v>
      </c>
      <c r="G741" s="61">
        <f>tbl_performance[[#This Row],[achieved]]/tbl_performance[[#This Row],[target]]</f>
        <v>1.04</v>
      </c>
      <c r="H741" s="60" t="str" cm="1">
        <f t="array" ref="H741">_xlfn.IFS(tbl_performance[[#This Row],[performance_pct]]&gt;=1.1,"Excellent",tbl_performance[[#This Row],[performance_pct]]&gt;=1,"Good",tbl_performance[[#This Row],[performance_pct]]&gt;=0.85,"Average",TRUE,"Poor")</f>
        <v>Good</v>
      </c>
    </row>
    <row r="742" spans="1:8" ht="19.8" x14ac:dyDescent="0.65">
      <c r="A742" s="58" t="s">
        <v>170</v>
      </c>
      <c r="B742" s="59">
        <v>45658</v>
      </c>
      <c r="C742" s="60">
        <v>79334</v>
      </c>
      <c r="D742" s="60">
        <v>83420</v>
      </c>
      <c r="E742" s="60" t="str">
        <f>tbl_performance[[#This Row],[employee_id]]&amp;"-"&amp;TEXT(tbl_performance[[#This Row],[month]],"mm")</f>
        <v>EMP1068-01</v>
      </c>
      <c r="F742" s="60">
        <f>COUNTIF(tbl_performance[employee_month_key],tbl_performance[[#This Row],[employee_month_key]])</f>
        <v>1</v>
      </c>
      <c r="G742" s="61">
        <f>tbl_performance[[#This Row],[achieved]]/tbl_performance[[#This Row],[target]]</f>
        <v>1.0515037688758917</v>
      </c>
      <c r="H742" s="60" t="str" cm="1">
        <f t="array" ref="H742">_xlfn.IFS(tbl_performance[[#This Row],[performance_pct]]&gt;=1.1,"Excellent",tbl_performance[[#This Row],[performance_pct]]&gt;=1,"Good",tbl_performance[[#This Row],[performance_pct]]&gt;=0.85,"Average",TRUE,"Poor")</f>
        <v>Good</v>
      </c>
    </row>
    <row r="743" spans="1:8" ht="19.8" x14ac:dyDescent="0.65">
      <c r="A743" s="58" t="s">
        <v>170</v>
      </c>
      <c r="B743" s="59">
        <v>45689</v>
      </c>
      <c r="C743" s="60">
        <v>73781</v>
      </c>
      <c r="D743" s="60">
        <v>90330</v>
      </c>
      <c r="E743" s="60" t="str">
        <f>tbl_performance[[#This Row],[employee_id]]&amp;"-"&amp;TEXT(tbl_performance[[#This Row],[month]],"mm")</f>
        <v>EMP1068-02</v>
      </c>
      <c r="F743" s="60">
        <f>COUNTIF(tbl_performance[employee_month_key],tbl_performance[[#This Row],[employee_month_key]])</f>
        <v>1</v>
      </c>
      <c r="G743" s="61">
        <f>tbl_performance[[#This Row],[achieved]]/tbl_performance[[#This Row],[target]]</f>
        <v>1.2242989387511689</v>
      </c>
      <c r="H743" s="60" t="str" cm="1">
        <f t="array" ref="H74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44" spans="1:8" ht="19.8" x14ac:dyDescent="0.65">
      <c r="A744" s="58" t="s">
        <v>170</v>
      </c>
      <c r="B744" s="59">
        <v>45717</v>
      </c>
      <c r="C744" s="60">
        <v>80921</v>
      </c>
      <c r="D744" s="60">
        <v>81578</v>
      </c>
      <c r="E744" s="60" t="str">
        <f>tbl_performance[[#This Row],[employee_id]]&amp;"-"&amp;TEXT(tbl_performance[[#This Row],[month]],"mm")</f>
        <v>EMP1068-03</v>
      </c>
      <c r="F744" s="60">
        <f>COUNTIF(tbl_performance[employee_month_key],tbl_performance[[#This Row],[employee_month_key]])</f>
        <v>1</v>
      </c>
      <c r="G744" s="61">
        <f>tbl_performance[[#This Row],[achieved]]/tbl_performance[[#This Row],[target]]</f>
        <v>1.0081190296709137</v>
      </c>
      <c r="H744" s="60" t="str" cm="1">
        <f t="array" ref="H744">_xlfn.IFS(tbl_performance[[#This Row],[performance_pct]]&gt;=1.1,"Excellent",tbl_performance[[#This Row],[performance_pct]]&gt;=1,"Good",tbl_performance[[#This Row],[performance_pct]]&gt;=0.85,"Average",TRUE,"Poor")</f>
        <v>Good</v>
      </c>
    </row>
    <row r="745" spans="1:8" ht="19.8" x14ac:dyDescent="0.65">
      <c r="A745" s="58" t="s">
        <v>170</v>
      </c>
      <c r="B745" s="59">
        <v>45748</v>
      </c>
      <c r="C745" s="60">
        <v>79334</v>
      </c>
      <c r="D745" s="60">
        <v>84210</v>
      </c>
      <c r="E745" s="60" t="str">
        <f>tbl_performance[[#This Row],[employee_id]]&amp;"-"&amp;TEXT(tbl_performance[[#This Row],[month]],"mm")</f>
        <v>EMP1068-04</v>
      </c>
      <c r="F745" s="60">
        <f>COUNTIF(tbl_performance[employee_month_key],tbl_performance[[#This Row],[employee_month_key]])</f>
        <v>1</v>
      </c>
      <c r="G745" s="61">
        <f>tbl_performance[[#This Row],[achieved]]/tbl_performance[[#This Row],[target]]</f>
        <v>1.0614616683893412</v>
      </c>
      <c r="H745" s="60" t="str" cm="1">
        <f t="array" ref="H745">_xlfn.IFS(tbl_performance[[#This Row],[performance_pct]]&gt;=1.1,"Excellent",tbl_performance[[#This Row],[performance_pct]]&gt;=1,"Good",tbl_performance[[#This Row],[performance_pct]]&gt;=0.85,"Average",TRUE,"Poor")</f>
        <v>Good</v>
      </c>
    </row>
    <row r="746" spans="1:8" ht="19.8" x14ac:dyDescent="0.65">
      <c r="A746" s="58" t="s">
        <v>170</v>
      </c>
      <c r="B746" s="59">
        <v>45778</v>
      </c>
      <c r="C746" s="60">
        <v>79334</v>
      </c>
      <c r="D746" s="60">
        <v>84450</v>
      </c>
      <c r="E746" s="60" t="str">
        <f>tbl_performance[[#This Row],[employee_id]]&amp;"-"&amp;TEXT(tbl_performance[[#This Row],[month]],"mm")</f>
        <v>EMP1068-05</v>
      </c>
      <c r="F746" s="60">
        <f>COUNTIF(tbl_performance[employee_month_key],tbl_performance[[#This Row],[employee_month_key]])</f>
        <v>1</v>
      </c>
      <c r="G746" s="61">
        <f>tbl_performance[[#This Row],[achieved]]/tbl_performance[[#This Row],[target]]</f>
        <v>1.0644868530516551</v>
      </c>
      <c r="H746" s="60" t="str" cm="1">
        <f t="array" ref="H746">_xlfn.IFS(tbl_performance[[#This Row],[performance_pct]]&gt;=1.1,"Excellent",tbl_performance[[#This Row],[performance_pct]]&gt;=1,"Good",tbl_performance[[#This Row],[performance_pct]]&gt;=0.85,"Average",TRUE,"Poor")</f>
        <v>Good</v>
      </c>
    </row>
    <row r="747" spans="1:8" ht="19.8" x14ac:dyDescent="0.65">
      <c r="A747" s="58" t="s">
        <v>170</v>
      </c>
      <c r="B747" s="59">
        <v>45809</v>
      </c>
      <c r="C747" s="60">
        <v>77748</v>
      </c>
      <c r="D747" s="60">
        <v>93087</v>
      </c>
      <c r="E747" s="60" t="str">
        <f>tbl_performance[[#This Row],[employee_id]]&amp;"-"&amp;TEXT(tbl_performance[[#This Row],[month]],"mm")</f>
        <v>EMP1068-06</v>
      </c>
      <c r="F747" s="60">
        <f>COUNTIF(tbl_performance[employee_month_key],tbl_performance[[#This Row],[employee_month_key]])</f>
        <v>1</v>
      </c>
      <c r="G747" s="61">
        <f>tbl_performance[[#This Row],[achieved]]/tbl_performance[[#This Row],[target]]</f>
        <v>1.1972912486494829</v>
      </c>
      <c r="H747" s="60" t="str" cm="1">
        <f t="array" ref="H74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48" spans="1:8" ht="19.8" x14ac:dyDescent="0.65">
      <c r="A748" s="58" t="s">
        <v>170</v>
      </c>
      <c r="B748" s="59">
        <v>45839</v>
      </c>
      <c r="C748" s="60">
        <v>79334</v>
      </c>
      <c r="D748" s="60">
        <v>81716</v>
      </c>
      <c r="E748" s="60" t="str">
        <f>tbl_performance[[#This Row],[employee_id]]&amp;"-"&amp;TEXT(tbl_performance[[#This Row],[month]],"mm")</f>
        <v>EMP1068-07</v>
      </c>
      <c r="F748" s="60">
        <f>COUNTIF(tbl_performance[employee_month_key],tbl_performance[[#This Row],[employee_month_key]])</f>
        <v>1</v>
      </c>
      <c r="G748" s="61">
        <f>tbl_performance[[#This Row],[achieved]]/tbl_performance[[#This Row],[target]]</f>
        <v>1.0300249577734641</v>
      </c>
      <c r="H748" s="60" t="str" cm="1">
        <f t="array" ref="H748">_xlfn.IFS(tbl_performance[[#This Row],[performance_pct]]&gt;=1.1,"Excellent",tbl_performance[[#This Row],[performance_pct]]&gt;=1,"Good",tbl_performance[[#This Row],[performance_pct]]&gt;=0.85,"Average",TRUE,"Poor")</f>
        <v>Good</v>
      </c>
    </row>
    <row r="749" spans="1:8" ht="19.8" x14ac:dyDescent="0.65">
      <c r="A749" s="58" t="s">
        <v>170</v>
      </c>
      <c r="B749" s="59">
        <v>45870</v>
      </c>
      <c r="C749" s="60">
        <v>76954</v>
      </c>
      <c r="D749" s="60">
        <v>82145</v>
      </c>
      <c r="E749" s="60" t="str">
        <f>tbl_performance[[#This Row],[employee_id]]&amp;"-"&amp;TEXT(tbl_performance[[#This Row],[month]],"mm")</f>
        <v>EMP1068-08</v>
      </c>
      <c r="F749" s="60">
        <f>COUNTIF(tbl_performance[employee_month_key],tbl_performance[[#This Row],[employee_month_key]])</f>
        <v>1</v>
      </c>
      <c r="G749" s="61">
        <f>tbl_performance[[#This Row],[achieved]]/tbl_performance[[#This Row],[target]]</f>
        <v>1.0674558827351406</v>
      </c>
      <c r="H749" s="60" t="str" cm="1">
        <f t="array" ref="H749">_xlfn.IFS(tbl_performance[[#This Row],[performance_pct]]&gt;=1.1,"Excellent",tbl_performance[[#This Row],[performance_pct]]&gt;=1,"Good",tbl_performance[[#This Row],[performance_pct]]&gt;=0.85,"Average",TRUE,"Poor")</f>
        <v>Good</v>
      </c>
    </row>
    <row r="750" spans="1:8" ht="19.8" x14ac:dyDescent="0.65">
      <c r="A750" s="58" t="s">
        <v>170</v>
      </c>
      <c r="B750" s="59">
        <v>45901</v>
      </c>
      <c r="C750" s="60">
        <v>79334</v>
      </c>
      <c r="D750" s="60">
        <v>87294</v>
      </c>
      <c r="E750" s="60" t="str">
        <f>tbl_performance[[#This Row],[employee_id]]&amp;"-"&amp;TEXT(tbl_performance[[#This Row],[month]],"mm")</f>
        <v>EMP1068-09</v>
      </c>
      <c r="F750" s="60">
        <f>COUNTIF(tbl_performance[employee_month_key],tbl_performance[[#This Row],[employee_month_key]])</f>
        <v>1</v>
      </c>
      <c r="G750" s="61">
        <f>tbl_performance[[#This Row],[achieved]]/tbl_performance[[#This Row],[target]]</f>
        <v>1.100335291300073</v>
      </c>
      <c r="H750" s="60" t="str" cm="1">
        <f t="array" ref="H75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51" spans="1:8" ht="19.8" x14ac:dyDescent="0.65">
      <c r="A751" s="58" t="s">
        <v>170</v>
      </c>
      <c r="B751" s="59">
        <v>45931</v>
      </c>
      <c r="C751" s="60">
        <v>80921</v>
      </c>
      <c r="D751" s="60">
        <v>85632</v>
      </c>
      <c r="E751" s="60" t="str">
        <f>tbl_performance[[#This Row],[employee_id]]&amp;"-"&amp;TEXT(tbl_performance[[#This Row],[month]],"mm")</f>
        <v>EMP1068-10</v>
      </c>
      <c r="F751" s="60">
        <f>COUNTIF(tbl_performance[employee_month_key],tbl_performance[[#This Row],[employee_month_key]])</f>
        <v>1</v>
      </c>
      <c r="G751" s="61">
        <f>tbl_performance[[#This Row],[achieved]]/tbl_performance[[#This Row],[target]]</f>
        <v>1.058217273637251</v>
      </c>
      <c r="H751" s="60" t="str" cm="1">
        <f t="array" ref="H751">_xlfn.IFS(tbl_performance[[#This Row],[performance_pct]]&gt;=1.1,"Excellent",tbl_performance[[#This Row],[performance_pct]]&gt;=1,"Good",tbl_performance[[#This Row],[performance_pct]]&gt;=0.85,"Average",TRUE,"Poor")</f>
        <v>Good</v>
      </c>
    </row>
    <row r="752" spans="1:8" ht="19.8" x14ac:dyDescent="0.65">
      <c r="A752" s="58" t="s">
        <v>170</v>
      </c>
      <c r="B752" s="59">
        <v>45962</v>
      </c>
      <c r="C752" s="60">
        <v>79334</v>
      </c>
      <c r="D752" s="60">
        <v>86863</v>
      </c>
      <c r="E752" s="60" t="str">
        <f>tbl_performance[[#This Row],[employee_id]]&amp;"-"&amp;TEXT(tbl_performance[[#This Row],[month]],"mm")</f>
        <v>EMP1068-11</v>
      </c>
      <c r="F752" s="60">
        <f>COUNTIF(tbl_performance[employee_month_key],tbl_performance[[#This Row],[employee_month_key]])</f>
        <v>1</v>
      </c>
      <c r="G752" s="61">
        <f>tbl_performance[[#This Row],[achieved]]/tbl_performance[[#This Row],[target]]</f>
        <v>1.0949025638440013</v>
      </c>
      <c r="H752" s="60" t="str" cm="1">
        <f t="array" ref="H752">_xlfn.IFS(tbl_performance[[#This Row],[performance_pct]]&gt;=1.1,"Excellent",tbl_performance[[#This Row],[performance_pct]]&gt;=1,"Good",tbl_performance[[#This Row],[performance_pct]]&gt;=0.85,"Average",TRUE,"Poor")</f>
        <v>Good</v>
      </c>
    </row>
    <row r="753" spans="1:8" ht="19.8" x14ac:dyDescent="0.65">
      <c r="A753" s="58" t="s">
        <v>170</v>
      </c>
      <c r="B753" s="59">
        <v>45992</v>
      </c>
      <c r="C753" s="60">
        <v>67434</v>
      </c>
      <c r="D753" s="60">
        <v>80851</v>
      </c>
      <c r="E753" s="60" t="str">
        <f>tbl_performance[[#This Row],[employee_id]]&amp;"-"&amp;TEXT(tbl_performance[[#This Row],[month]],"mm")</f>
        <v>EMP1068-12</v>
      </c>
      <c r="F753" s="60">
        <f>COUNTIF(tbl_performance[employee_month_key],tbl_performance[[#This Row],[employee_month_key]])</f>
        <v>1</v>
      </c>
      <c r="G753" s="61">
        <f>tbl_performance[[#This Row],[achieved]]/tbl_performance[[#This Row],[target]]</f>
        <v>1.1989649138416822</v>
      </c>
      <c r="H753" s="60" t="str" cm="1">
        <f t="array" ref="H75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54" spans="1:8" ht="19.8" x14ac:dyDescent="0.65">
      <c r="A754" s="58" t="s">
        <v>172</v>
      </c>
      <c r="B754" s="59">
        <v>45658</v>
      </c>
      <c r="C754" s="60">
        <v>54</v>
      </c>
      <c r="D754" s="60">
        <v>56</v>
      </c>
      <c r="E754" s="60" t="str">
        <f>tbl_performance[[#This Row],[employee_id]]&amp;"-"&amp;TEXT(tbl_performance[[#This Row],[month]],"mm")</f>
        <v>EMP1069-01</v>
      </c>
      <c r="F754" s="60">
        <f>COUNTIF(tbl_performance[employee_month_key],tbl_performance[[#This Row],[employee_month_key]])</f>
        <v>1</v>
      </c>
      <c r="G754" s="61">
        <f>tbl_performance[[#This Row],[achieved]]/tbl_performance[[#This Row],[target]]</f>
        <v>1.037037037037037</v>
      </c>
      <c r="H754" s="60" t="str" cm="1">
        <f t="array" ref="H754">_xlfn.IFS(tbl_performance[[#This Row],[performance_pct]]&gt;=1.1,"Excellent",tbl_performance[[#This Row],[performance_pct]]&gt;=1,"Good",tbl_performance[[#This Row],[performance_pct]]&gt;=0.85,"Average",TRUE,"Poor")</f>
        <v>Good</v>
      </c>
    </row>
    <row r="755" spans="1:8" ht="19.8" x14ac:dyDescent="0.65">
      <c r="A755" s="58" t="s">
        <v>172</v>
      </c>
      <c r="B755" s="59">
        <v>45689</v>
      </c>
      <c r="C755" s="60">
        <v>50</v>
      </c>
      <c r="D755" s="60">
        <v>54</v>
      </c>
      <c r="E755" s="60" t="str">
        <f>tbl_performance[[#This Row],[employee_id]]&amp;"-"&amp;TEXT(tbl_performance[[#This Row],[month]],"mm")</f>
        <v>EMP1069-02</v>
      </c>
      <c r="F755" s="60">
        <f>COUNTIF(tbl_performance[employee_month_key],tbl_performance[[#This Row],[employee_month_key]])</f>
        <v>1</v>
      </c>
      <c r="G755" s="61">
        <f>tbl_performance[[#This Row],[achieved]]/tbl_performance[[#This Row],[target]]</f>
        <v>1.08</v>
      </c>
      <c r="H755" s="60" t="str" cm="1">
        <f t="array" ref="H755">_xlfn.IFS(tbl_performance[[#This Row],[performance_pct]]&gt;=1.1,"Excellent",tbl_performance[[#This Row],[performance_pct]]&gt;=1,"Good",tbl_performance[[#This Row],[performance_pct]]&gt;=0.85,"Average",TRUE,"Poor")</f>
        <v>Good</v>
      </c>
    </row>
    <row r="756" spans="1:8" ht="19.8" x14ac:dyDescent="0.65">
      <c r="A756" s="58" t="s">
        <v>172</v>
      </c>
      <c r="B756" s="59">
        <v>45717</v>
      </c>
      <c r="C756" s="60">
        <v>55</v>
      </c>
      <c r="D756" s="60">
        <v>58</v>
      </c>
      <c r="E756" s="60" t="str">
        <f>tbl_performance[[#This Row],[employee_id]]&amp;"-"&amp;TEXT(tbl_performance[[#This Row],[month]],"mm")</f>
        <v>EMP1069-03</v>
      </c>
      <c r="F756" s="60">
        <f>COUNTIF(tbl_performance[employee_month_key],tbl_performance[[#This Row],[employee_month_key]])</f>
        <v>1</v>
      </c>
      <c r="G756" s="61">
        <f>tbl_performance[[#This Row],[achieved]]/tbl_performance[[#This Row],[target]]</f>
        <v>1.0545454545454545</v>
      </c>
      <c r="H756" s="60" t="str" cm="1">
        <f t="array" ref="H756">_xlfn.IFS(tbl_performance[[#This Row],[performance_pct]]&gt;=1.1,"Excellent",tbl_performance[[#This Row],[performance_pct]]&gt;=1,"Good",tbl_performance[[#This Row],[performance_pct]]&gt;=0.85,"Average",TRUE,"Poor")</f>
        <v>Good</v>
      </c>
    </row>
    <row r="757" spans="1:8" ht="19.8" x14ac:dyDescent="0.65">
      <c r="A757" s="58" t="s">
        <v>172</v>
      </c>
      <c r="B757" s="59">
        <v>45748</v>
      </c>
      <c r="C757" s="60">
        <v>54</v>
      </c>
      <c r="D757" s="60">
        <v>60</v>
      </c>
      <c r="E757" s="60" t="str">
        <f>tbl_performance[[#This Row],[employee_id]]&amp;"-"&amp;TEXT(tbl_performance[[#This Row],[month]],"mm")</f>
        <v>EMP1069-04</v>
      </c>
      <c r="F757" s="60">
        <f>COUNTIF(tbl_performance[employee_month_key],tbl_performance[[#This Row],[employee_month_key]])</f>
        <v>1</v>
      </c>
      <c r="G757" s="61">
        <f>tbl_performance[[#This Row],[achieved]]/tbl_performance[[#This Row],[target]]</f>
        <v>1.1111111111111112</v>
      </c>
      <c r="H757" s="60" t="str" cm="1">
        <f t="array" ref="H75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58" spans="1:8" ht="19.8" x14ac:dyDescent="0.65">
      <c r="A758" s="58" t="s">
        <v>172</v>
      </c>
      <c r="B758" s="59">
        <v>45778</v>
      </c>
      <c r="C758" s="60">
        <v>54</v>
      </c>
      <c r="D758" s="60">
        <v>55</v>
      </c>
      <c r="E758" s="60" t="str">
        <f>tbl_performance[[#This Row],[employee_id]]&amp;"-"&amp;TEXT(tbl_performance[[#This Row],[month]],"mm")</f>
        <v>EMP1069-05</v>
      </c>
      <c r="F758" s="60">
        <f>COUNTIF(tbl_performance[employee_month_key],tbl_performance[[#This Row],[employee_month_key]])</f>
        <v>1</v>
      </c>
      <c r="G758" s="61">
        <f>tbl_performance[[#This Row],[achieved]]/tbl_performance[[#This Row],[target]]</f>
        <v>1.0185185185185186</v>
      </c>
      <c r="H758" s="60" t="str" cm="1">
        <f t="array" ref="H758">_xlfn.IFS(tbl_performance[[#This Row],[performance_pct]]&gt;=1.1,"Excellent",tbl_performance[[#This Row],[performance_pct]]&gt;=1,"Good",tbl_performance[[#This Row],[performance_pct]]&gt;=0.85,"Average",TRUE,"Poor")</f>
        <v>Good</v>
      </c>
    </row>
    <row r="759" spans="1:8" ht="19.8" x14ac:dyDescent="0.65">
      <c r="A759" s="58" t="s">
        <v>172</v>
      </c>
      <c r="B759" s="59">
        <v>45809</v>
      </c>
      <c r="C759" s="60">
        <v>53</v>
      </c>
      <c r="D759" s="60">
        <v>56</v>
      </c>
      <c r="E759" s="60" t="str">
        <f>tbl_performance[[#This Row],[employee_id]]&amp;"-"&amp;TEXT(tbl_performance[[#This Row],[month]],"mm")</f>
        <v>EMP1069-06</v>
      </c>
      <c r="F759" s="60">
        <f>COUNTIF(tbl_performance[employee_month_key],tbl_performance[[#This Row],[employee_month_key]])</f>
        <v>1</v>
      </c>
      <c r="G759" s="61">
        <f>tbl_performance[[#This Row],[achieved]]/tbl_performance[[#This Row],[target]]</f>
        <v>1.0566037735849056</v>
      </c>
      <c r="H759" s="60" t="str" cm="1">
        <f t="array" ref="H759">_xlfn.IFS(tbl_performance[[#This Row],[performance_pct]]&gt;=1.1,"Excellent",tbl_performance[[#This Row],[performance_pct]]&gt;=1,"Good",tbl_performance[[#This Row],[performance_pct]]&gt;=0.85,"Average",TRUE,"Poor")</f>
        <v>Good</v>
      </c>
    </row>
    <row r="760" spans="1:8" ht="19.8" x14ac:dyDescent="0.65">
      <c r="A760" s="58" t="s">
        <v>172</v>
      </c>
      <c r="B760" s="59">
        <v>45839</v>
      </c>
      <c r="C760" s="60">
        <v>54</v>
      </c>
      <c r="D760" s="60">
        <v>59</v>
      </c>
      <c r="E760" s="60" t="str">
        <f>tbl_performance[[#This Row],[employee_id]]&amp;"-"&amp;TEXT(tbl_performance[[#This Row],[month]],"mm")</f>
        <v>EMP1069-07</v>
      </c>
      <c r="F760" s="60">
        <f>COUNTIF(tbl_performance[employee_month_key],tbl_performance[[#This Row],[employee_month_key]])</f>
        <v>1</v>
      </c>
      <c r="G760" s="61">
        <f>tbl_performance[[#This Row],[achieved]]/tbl_performance[[#This Row],[target]]</f>
        <v>1.0925925925925926</v>
      </c>
      <c r="H760" s="60" t="str" cm="1">
        <f t="array" ref="H760">_xlfn.IFS(tbl_performance[[#This Row],[performance_pct]]&gt;=1.1,"Excellent",tbl_performance[[#This Row],[performance_pct]]&gt;=1,"Good",tbl_performance[[#This Row],[performance_pct]]&gt;=0.85,"Average",TRUE,"Poor")</f>
        <v>Good</v>
      </c>
    </row>
    <row r="761" spans="1:8" ht="19.8" x14ac:dyDescent="0.65">
      <c r="A761" s="58" t="s">
        <v>172</v>
      </c>
      <c r="B761" s="59">
        <v>45870</v>
      </c>
      <c r="C761" s="60">
        <v>52</v>
      </c>
      <c r="D761" s="60">
        <v>58</v>
      </c>
      <c r="E761" s="60" t="str">
        <f>tbl_performance[[#This Row],[employee_id]]&amp;"-"&amp;TEXT(tbl_performance[[#This Row],[month]],"mm")</f>
        <v>EMP1069-08</v>
      </c>
      <c r="F761" s="60">
        <f>COUNTIF(tbl_performance[employee_month_key],tbl_performance[[#This Row],[employee_month_key]])</f>
        <v>1</v>
      </c>
      <c r="G761" s="61">
        <f>tbl_performance[[#This Row],[achieved]]/tbl_performance[[#This Row],[target]]</f>
        <v>1.1153846153846154</v>
      </c>
      <c r="H761" s="60" t="str" cm="1">
        <f t="array" ref="H76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62" spans="1:8" ht="19.8" x14ac:dyDescent="0.65">
      <c r="A762" s="58" t="s">
        <v>172</v>
      </c>
      <c r="B762" s="59">
        <v>45901</v>
      </c>
      <c r="C762" s="60">
        <v>54</v>
      </c>
      <c r="D762" s="60">
        <v>58</v>
      </c>
      <c r="E762" s="60" t="str">
        <f>tbl_performance[[#This Row],[employee_id]]&amp;"-"&amp;TEXT(tbl_performance[[#This Row],[month]],"mm")</f>
        <v>EMP1069-09</v>
      </c>
      <c r="F762" s="60">
        <f>COUNTIF(tbl_performance[employee_month_key],tbl_performance[[#This Row],[employee_month_key]])</f>
        <v>1</v>
      </c>
      <c r="G762" s="61">
        <f>tbl_performance[[#This Row],[achieved]]/tbl_performance[[#This Row],[target]]</f>
        <v>1.0740740740740742</v>
      </c>
      <c r="H762" s="60" t="str" cm="1">
        <f t="array" ref="H762">_xlfn.IFS(tbl_performance[[#This Row],[performance_pct]]&gt;=1.1,"Excellent",tbl_performance[[#This Row],[performance_pct]]&gt;=1,"Good",tbl_performance[[#This Row],[performance_pct]]&gt;=0.85,"Average",TRUE,"Poor")</f>
        <v>Good</v>
      </c>
    </row>
    <row r="763" spans="1:8" ht="19.8" x14ac:dyDescent="0.65">
      <c r="A763" s="58" t="s">
        <v>172</v>
      </c>
      <c r="B763" s="59">
        <v>45931</v>
      </c>
      <c r="C763" s="60">
        <v>55</v>
      </c>
      <c r="D763" s="60">
        <v>59</v>
      </c>
      <c r="E763" s="60" t="str">
        <f>tbl_performance[[#This Row],[employee_id]]&amp;"-"&amp;TEXT(tbl_performance[[#This Row],[month]],"mm")</f>
        <v>EMP1069-10</v>
      </c>
      <c r="F763" s="60">
        <f>COUNTIF(tbl_performance[employee_month_key],tbl_performance[[#This Row],[employee_month_key]])</f>
        <v>1</v>
      </c>
      <c r="G763" s="61">
        <f>tbl_performance[[#This Row],[achieved]]/tbl_performance[[#This Row],[target]]</f>
        <v>1.0727272727272728</v>
      </c>
      <c r="H763" s="60" t="str" cm="1">
        <f t="array" ref="H763">_xlfn.IFS(tbl_performance[[#This Row],[performance_pct]]&gt;=1.1,"Excellent",tbl_performance[[#This Row],[performance_pct]]&gt;=1,"Good",tbl_performance[[#This Row],[performance_pct]]&gt;=0.85,"Average",TRUE,"Poor")</f>
        <v>Good</v>
      </c>
    </row>
    <row r="764" spans="1:8" ht="19.8" x14ac:dyDescent="0.65">
      <c r="A764" s="58" t="s">
        <v>172</v>
      </c>
      <c r="B764" s="59">
        <v>45962</v>
      </c>
      <c r="C764" s="60">
        <v>54</v>
      </c>
      <c r="D764" s="60">
        <v>62</v>
      </c>
      <c r="E764" s="60" t="str">
        <f>tbl_performance[[#This Row],[employee_id]]&amp;"-"&amp;TEXT(tbl_performance[[#This Row],[month]],"mm")</f>
        <v>EMP1069-11</v>
      </c>
      <c r="F764" s="60">
        <f>COUNTIF(tbl_performance[employee_month_key],tbl_performance[[#This Row],[employee_month_key]])</f>
        <v>1</v>
      </c>
      <c r="G764" s="61">
        <f>tbl_performance[[#This Row],[achieved]]/tbl_performance[[#This Row],[target]]</f>
        <v>1.1481481481481481</v>
      </c>
      <c r="H764" s="60" t="str" cm="1">
        <f t="array" ref="H76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65" spans="1:8" ht="19.8" x14ac:dyDescent="0.65">
      <c r="A765" s="58" t="s">
        <v>172</v>
      </c>
      <c r="B765" s="59">
        <v>45992</v>
      </c>
      <c r="C765" s="60">
        <v>46</v>
      </c>
      <c r="D765" s="60">
        <v>45</v>
      </c>
      <c r="E765" s="60" t="str">
        <f>tbl_performance[[#This Row],[employee_id]]&amp;"-"&amp;TEXT(tbl_performance[[#This Row],[month]],"mm")</f>
        <v>EMP1069-12</v>
      </c>
      <c r="F765" s="60">
        <f>COUNTIF(tbl_performance[employee_month_key],tbl_performance[[#This Row],[employee_month_key]])</f>
        <v>1</v>
      </c>
      <c r="G765" s="61">
        <f>tbl_performance[[#This Row],[achieved]]/tbl_performance[[#This Row],[target]]</f>
        <v>0.97826086956521741</v>
      </c>
      <c r="H765" s="60" t="str" cm="1">
        <f t="array" ref="H76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66" spans="1:8" ht="19.8" x14ac:dyDescent="0.65">
      <c r="A766" s="58" t="s">
        <v>175</v>
      </c>
      <c r="B766" s="59">
        <v>45658</v>
      </c>
      <c r="C766" s="60">
        <v>57555</v>
      </c>
      <c r="D766" s="60">
        <v>39121</v>
      </c>
      <c r="E766" s="60" t="str">
        <f>tbl_performance[[#This Row],[employee_id]]&amp;"-"&amp;TEXT(tbl_performance[[#This Row],[month]],"mm")</f>
        <v>EMP1070-01</v>
      </c>
      <c r="F766" s="60">
        <f>COUNTIF(tbl_performance[employee_month_key],tbl_performance[[#This Row],[employee_month_key]])</f>
        <v>1</v>
      </c>
      <c r="G766" s="61">
        <f>tbl_performance[[#This Row],[achieved]]/tbl_performance[[#This Row],[target]]</f>
        <v>0.67971505516462516</v>
      </c>
      <c r="H766" s="60" t="str" cm="1">
        <f t="array" ref="H766">_xlfn.IFS(tbl_performance[[#This Row],[performance_pct]]&gt;=1.1,"Excellent",tbl_performance[[#This Row],[performance_pct]]&gt;=1,"Good",tbl_performance[[#This Row],[performance_pct]]&gt;=0.85,"Average",TRUE,"Poor")</f>
        <v>Poor</v>
      </c>
    </row>
    <row r="767" spans="1:8" ht="19.8" x14ac:dyDescent="0.65">
      <c r="A767" s="58" t="s">
        <v>175</v>
      </c>
      <c r="B767" s="59">
        <v>45689</v>
      </c>
      <c r="C767" s="60">
        <v>53527</v>
      </c>
      <c r="D767" s="60">
        <v>32434</v>
      </c>
      <c r="E767" s="60" t="str">
        <f>tbl_performance[[#This Row],[employee_id]]&amp;"-"&amp;TEXT(tbl_performance[[#This Row],[month]],"mm")</f>
        <v>EMP1070-02</v>
      </c>
      <c r="F767" s="60">
        <f>COUNTIF(tbl_performance[employee_month_key],tbl_performance[[#This Row],[employee_month_key]])</f>
        <v>1</v>
      </c>
      <c r="G767" s="61">
        <f>tbl_performance[[#This Row],[achieved]]/tbl_performance[[#This Row],[target]]</f>
        <v>0.60593719057671824</v>
      </c>
      <c r="H767" s="60" t="str" cm="1">
        <f t="array" ref="H767">_xlfn.IFS(tbl_performance[[#This Row],[performance_pct]]&gt;=1.1,"Excellent",tbl_performance[[#This Row],[performance_pct]]&gt;=1,"Good",tbl_performance[[#This Row],[performance_pct]]&gt;=0.85,"Average",TRUE,"Poor")</f>
        <v>Poor</v>
      </c>
    </row>
    <row r="768" spans="1:8" ht="19.8" x14ac:dyDescent="0.65">
      <c r="A768" s="58" t="s">
        <v>175</v>
      </c>
      <c r="B768" s="59">
        <v>45717</v>
      </c>
      <c r="C768" s="60">
        <v>58707</v>
      </c>
      <c r="D768" s="60">
        <v>34286</v>
      </c>
      <c r="E768" s="60" t="str">
        <f>tbl_performance[[#This Row],[employee_id]]&amp;"-"&amp;TEXT(tbl_performance[[#This Row],[month]],"mm")</f>
        <v>EMP1070-03</v>
      </c>
      <c r="F768" s="60">
        <f>COUNTIF(tbl_performance[employee_month_key],tbl_performance[[#This Row],[employee_month_key]])</f>
        <v>1</v>
      </c>
      <c r="G768" s="61">
        <f>tbl_performance[[#This Row],[achieved]]/tbl_performance[[#This Row],[target]]</f>
        <v>0.58401894152315736</v>
      </c>
      <c r="H768" s="60" t="str" cm="1">
        <f t="array" ref="H768">_xlfn.IFS(tbl_performance[[#This Row],[performance_pct]]&gt;=1.1,"Excellent",tbl_performance[[#This Row],[performance_pct]]&gt;=1,"Good",tbl_performance[[#This Row],[performance_pct]]&gt;=0.85,"Average",TRUE,"Poor")</f>
        <v>Poor</v>
      </c>
    </row>
    <row r="769" spans="1:8" ht="19.8" x14ac:dyDescent="0.65">
      <c r="A769" s="58" t="s">
        <v>175</v>
      </c>
      <c r="B769" s="59">
        <v>45748</v>
      </c>
      <c r="C769" s="60">
        <v>57555</v>
      </c>
      <c r="D769" s="60">
        <v>43568</v>
      </c>
      <c r="E769" s="60" t="str">
        <f>tbl_performance[[#This Row],[employee_id]]&amp;"-"&amp;TEXT(tbl_performance[[#This Row],[month]],"mm")</f>
        <v>EMP1070-04</v>
      </c>
      <c r="F769" s="60">
        <f>COUNTIF(tbl_performance[employee_month_key],tbl_performance[[#This Row],[employee_month_key]])</f>
        <v>1</v>
      </c>
      <c r="G769" s="61">
        <f>tbl_performance[[#This Row],[achieved]]/tbl_performance[[#This Row],[target]]</f>
        <v>0.75698027973242987</v>
      </c>
      <c r="H769" s="60" t="str" cm="1">
        <f t="array" ref="H769">_xlfn.IFS(tbl_performance[[#This Row],[performance_pct]]&gt;=1.1,"Excellent",tbl_performance[[#This Row],[performance_pct]]&gt;=1,"Good",tbl_performance[[#This Row],[performance_pct]]&gt;=0.85,"Average",TRUE,"Poor")</f>
        <v>Poor</v>
      </c>
    </row>
    <row r="770" spans="1:8" ht="19.8" x14ac:dyDescent="0.65">
      <c r="A770" s="58" t="s">
        <v>175</v>
      </c>
      <c r="B770" s="59">
        <v>45778</v>
      </c>
      <c r="C770" s="60">
        <v>57555</v>
      </c>
      <c r="D770" s="60">
        <v>40894</v>
      </c>
      <c r="E770" s="60" t="str">
        <f>tbl_performance[[#This Row],[employee_id]]&amp;"-"&amp;TEXT(tbl_performance[[#This Row],[month]],"mm")</f>
        <v>EMP1070-05</v>
      </c>
      <c r="F770" s="60">
        <f>COUNTIF(tbl_performance[employee_month_key],tbl_performance[[#This Row],[employee_month_key]])</f>
        <v>1</v>
      </c>
      <c r="G770" s="61">
        <f>tbl_performance[[#This Row],[achieved]]/tbl_performance[[#This Row],[target]]</f>
        <v>0.71052037181826078</v>
      </c>
      <c r="H770" s="60" t="str" cm="1">
        <f t="array" ref="H770">_xlfn.IFS(tbl_performance[[#This Row],[performance_pct]]&gt;=1.1,"Excellent",tbl_performance[[#This Row],[performance_pct]]&gt;=1,"Good",tbl_performance[[#This Row],[performance_pct]]&gt;=0.85,"Average",TRUE,"Poor")</f>
        <v>Poor</v>
      </c>
    </row>
    <row r="771" spans="1:8" ht="19.8" x14ac:dyDescent="0.65">
      <c r="A771" s="58" t="s">
        <v>175</v>
      </c>
      <c r="B771" s="59">
        <v>45809</v>
      </c>
      <c r="C771" s="60">
        <v>56404</v>
      </c>
      <c r="D771" s="60">
        <v>35520</v>
      </c>
      <c r="E771" s="60" t="str">
        <f>tbl_performance[[#This Row],[employee_id]]&amp;"-"&amp;TEXT(tbl_performance[[#This Row],[month]],"mm")</f>
        <v>EMP1070-06</v>
      </c>
      <c r="F771" s="60">
        <f>COUNTIF(tbl_performance[employee_month_key],tbl_performance[[#This Row],[employee_month_key]])</f>
        <v>1</v>
      </c>
      <c r="G771" s="61">
        <f>tbl_performance[[#This Row],[achieved]]/tbl_performance[[#This Row],[target]]</f>
        <v>0.62974257144883339</v>
      </c>
      <c r="H771" s="60" t="str" cm="1">
        <f t="array" ref="H771">_xlfn.IFS(tbl_performance[[#This Row],[performance_pct]]&gt;=1.1,"Excellent",tbl_performance[[#This Row],[performance_pct]]&gt;=1,"Good",tbl_performance[[#This Row],[performance_pct]]&gt;=0.85,"Average",TRUE,"Poor")</f>
        <v>Poor</v>
      </c>
    </row>
    <row r="772" spans="1:8" ht="19.8" x14ac:dyDescent="0.65">
      <c r="A772" s="58" t="s">
        <v>175</v>
      </c>
      <c r="B772" s="59">
        <v>45839</v>
      </c>
      <c r="C772" s="60">
        <v>57555</v>
      </c>
      <c r="D772" s="60">
        <v>32122</v>
      </c>
      <c r="E772" s="60" t="str">
        <f>tbl_performance[[#This Row],[employee_id]]&amp;"-"&amp;TEXT(tbl_performance[[#This Row],[month]],"mm")</f>
        <v>EMP1070-07</v>
      </c>
      <c r="F772" s="60">
        <f>COUNTIF(tbl_performance[employee_month_key],tbl_performance[[#This Row],[employee_month_key]])</f>
        <v>1</v>
      </c>
      <c r="G772" s="61">
        <f>tbl_performance[[#This Row],[achieved]]/tbl_performance[[#This Row],[target]]</f>
        <v>0.55810963426287896</v>
      </c>
      <c r="H772" s="60" t="str" cm="1">
        <f t="array" ref="H772">_xlfn.IFS(tbl_performance[[#This Row],[performance_pct]]&gt;=1.1,"Excellent",tbl_performance[[#This Row],[performance_pct]]&gt;=1,"Good",tbl_performance[[#This Row],[performance_pct]]&gt;=0.85,"Average",TRUE,"Poor")</f>
        <v>Poor</v>
      </c>
    </row>
    <row r="773" spans="1:8" ht="19.8" x14ac:dyDescent="0.65">
      <c r="A773" s="58" t="s">
        <v>175</v>
      </c>
      <c r="B773" s="59">
        <v>45870</v>
      </c>
      <c r="C773" s="60">
        <v>55829</v>
      </c>
      <c r="D773" s="60">
        <v>43178</v>
      </c>
      <c r="E773" s="60" t="str">
        <f>tbl_performance[[#This Row],[employee_id]]&amp;"-"&amp;TEXT(tbl_performance[[#This Row],[month]],"mm")</f>
        <v>EMP1070-08</v>
      </c>
      <c r="F773" s="60">
        <f>COUNTIF(tbl_performance[employee_month_key],tbl_performance[[#This Row],[employee_month_key]])</f>
        <v>1</v>
      </c>
      <c r="G773" s="61">
        <f>tbl_performance[[#This Row],[achieved]]/tbl_performance[[#This Row],[target]]</f>
        <v>0.77339733830088309</v>
      </c>
      <c r="H773" s="60" t="str" cm="1">
        <f t="array" ref="H773">_xlfn.IFS(tbl_performance[[#This Row],[performance_pct]]&gt;=1.1,"Excellent",tbl_performance[[#This Row],[performance_pct]]&gt;=1,"Good",tbl_performance[[#This Row],[performance_pct]]&gt;=0.85,"Average",TRUE,"Poor")</f>
        <v>Poor</v>
      </c>
    </row>
    <row r="774" spans="1:8" ht="19.8" x14ac:dyDescent="0.65">
      <c r="A774" s="58" t="s">
        <v>175</v>
      </c>
      <c r="B774" s="59">
        <v>45901</v>
      </c>
      <c r="C774" s="60">
        <v>57555</v>
      </c>
      <c r="D774" s="60">
        <v>43233</v>
      </c>
      <c r="E774" s="60" t="str">
        <f>tbl_performance[[#This Row],[employee_id]]&amp;"-"&amp;TEXT(tbl_performance[[#This Row],[month]],"mm")</f>
        <v>EMP1070-09</v>
      </c>
      <c r="F774" s="60">
        <f>COUNTIF(tbl_performance[employee_month_key],tbl_performance[[#This Row],[employee_month_key]])</f>
        <v>1</v>
      </c>
      <c r="G774" s="61">
        <f>tbl_performance[[#This Row],[achieved]]/tbl_performance[[#This Row],[target]]</f>
        <v>0.75115976022934583</v>
      </c>
      <c r="H774" s="60" t="str" cm="1">
        <f t="array" ref="H774">_xlfn.IFS(tbl_performance[[#This Row],[performance_pct]]&gt;=1.1,"Excellent",tbl_performance[[#This Row],[performance_pct]]&gt;=1,"Good",tbl_performance[[#This Row],[performance_pct]]&gt;=0.85,"Average",TRUE,"Poor")</f>
        <v>Poor</v>
      </c>
    </row>
    <row r="775" spans="1:8" ht="19.8" x14ac:dyDescent="0.65">
      <c r="A775" s="58" t="s">
        <v>175</v>
      </c>
      <c r="B775" s="59">
        <v>45931</v>
      </c>
      <c r="C775" s="60">
        <v>58707</v>
      </c>
      <c r="D775" s="60">
        <v>39699</v>
      </c>
      <c r="E775" s="60" t="str">
        <f>tbl_performance[[#This Row],[employee_id]]&amp;"-"&amp;TEXT(tbl_performance[[#This Row],[month]],"mm")</f>
        <v>EMP1070-10</v>
      </c>
      <c r="F775" s="60">
        <f>COUNTIF(tbl_performance[employee_month_key],tbl_performance[[#This Row],[employee_month_key]])</f>
        <v>1</v>
      </c>
      <c r="G775" s="61">
        <f>tbl_performance[[#This Row],[achieved]]/tbl_performance[[#This Row],[target]]</f>
        <v>0.67622259696458686</v>
      </c>
      <c r="H775" s="60" t="str" cm="1">
        <f t="array" ref="H775">_xlfn.IFS(tbl_performance[[#This Row],[performance_pct]]&gt;=1.1,"Excellent",tbl_performance[[#This Row],[performance_pct]]&gt;=1,"Good",tbl_performance[[#This Row],[performance_pct]]&gt;=0.85,"Average",TRUE,"Poor")</f>
        <v>Poor</v>
      </c>
    </row>
    <row r="776" spans="1:8" ht="19.8" x14ac:dyDescent="0.65">
      <c r="A776" s="58" t="s">
        <v>175</v>
      </c>
      <c r="B776" s="59">
        <v>45962</v>
      </c>
      <c r="C776" s="60">
        <v>57555</v>
      </c>
      <c r="D776" s="60">
        <v>55875</v>
      </c>
      <c r="E776" s="60" t="str">
        <f>tbl_performance[[#This Row],[employee_id]]&amp;"-"&amp;TEXT(tbl_performance[[#This Row],[month]],"mm")</f>
        <v>EMP1070-11</v>
      </c>
      <c r="F776" s="60">
        <f>COUNTIF(tbl_performance[employee_month_key],tbl_performance[[#This Row],[employee_month_key]])</f>
        <v>1</v>
      </c>
      <c r="G776" s="61">
        <f>tbl_performance[[#This Row],[achieved]]/tbl_performance[[#This Row],[target]]</f>
        <v>0.97081052905916077</v>
      </c>
      <c r="H776" s="60" t="str" cm="1">
        <f t="array" ref="H77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77" spans="1:8" ht="19.8" x14ac:dyDescent="0.65">
      <c r="A777" s="58" t="s">
        <v>175</v>
      </c>
      <c r="B777" s="59">
        <v>45992</v>
      </c>
      <c r="C777" s="60">
        <v>48922</v>
      </c>
      <c r="D777" s="60">
        <v>35182</v>
      </c>
      <c r="E777" s="60" t="str">
        <f>tbl_performance[[#This Row],[employee_id]]&amp;"-"&amp;TEXT(tbl_performance[[#This Row],[month]],"mm")</f>
        <v>EMP1070-12</v>
      </c>
      <c r="F777" s="60">
        <f>COUNTIF(tbl_performance[employee_month_key],tbl_performance[[#This Row],[employee_month_key]])</f>
        <v>1</v>
      </c>
      <c r="G777" s="61">
        <f>tbl_performance[[#This Row],[achieved]]/tbl_performance[[#This Row],[target]]</f>
        <v>0.71914476104819913</v>
      </c>
      <c r="H777" s="60" t="str" cm="1">
        <f t="array" ref="H777">_xlfn.IFS(tbl_performance[[#This Row],[performance_pct]]&gt;=1.1,"Excellent",tbl_performance[[#This Row],[performance_pct]]&gt;=1,"Good",tbl_performance[[#This Row],[performance_pct]]&gt;=0.85,"Average",TRUE,"Poor")</f>
        <v>Poor</v>
      </c>
    </row>
    <row r="778" spans="1:8" ht="19.8" x14ac:dyDescent="0.65">
      <c r="A778" s="58" t="s">
        <v>177</v>
      </c>
      <c r="B778" s="59">
        <v>45658</v>
      </c>
      <c r="C778" s="60">
        <v>282</v>
      </c>
      <c r="D778" s="60">
        <v>214</v>
      </c>
      <c r="E778" s="60" t="str">
        <f>tbl_performance[[#This Row],[employee_id]]&amp;"-"&amp;TEXT(tbl_performance[[#This Row],[month]],"mm")</f>
        <v>EMP1071-01</v>
      </c>
      <c r="F778" s="60">
        <f>COUNTIF(tbl_performance[employee_month_key],tbl_performance[[#This Row],[employee_month_key]])</f>
        <v>1</v>
      </c>
      <c r="G778" s="61">
        <f>tbl_performance[[#This Row],[achieved]]/tbl_performance[[#This Row],[target]]</f>
        <v>0.75886524822695034</v>
      </c>
      <c r="H778" s="60" t="str" cm="1">
        <f t="array" ref="H778">_xlfn.IFS(tbl_performance[[#This Row],[performance_pct]]&gt;=1.1,"Excellent",tbl_performance[[#This Row],[performance_pct]]&gt;=1,"Good",tbl_performance[[#This Row],[performance_pct]]&gt;=0.85,"Average",TRUE,"Poor")</f>
        <v>Poor</v>
      </c>
    </row>
    <row r="779" spans="1:8" ht="19.8" x14ac:dyDescent="0.65">
      <c r="A779" s="58" t="s">
        <v>177</v>
      </c>
      <c r="B779" s="59">
        <v>45689</v>
      </c>
      <c r="C779" s="60">
        <v>263</v>
      </c>
      <c r="D779" s="60">
        <v>210</v>
      </c>
      <c r="E779" s="60" t="str">
        <f>tbl_performance[[#This Row],[employee_id]]&amp;"-"&amp;TEXT(tbl_performance[[#This Row],[month]],"mm")</f>
        <v>EMP1071-02</v>
      </c>
      <c r="F779" s="60">
        <f>COUNTIF(tbl_performance[employee_month_key],tbl_performance[[#This Row],[employee_month_key]])</f>
        <v>1</v>
      </c>
      <c r="G779" s="61">
        <f>tbl_performance[[#This Row],[achieved]]/tbl_performance[[#This Row],[target]]</f>
        <v>0.79847908745247154</v>
      </c>
      <c r="H779" s="60" t="str" cm="1">
        <f t="array" ref="H779">_xlfn.IFS(tbl_performance[[#This Row],[performance_pct]]&gt;=1.1,"Excellent",tbl_performance[[#This Row],[performance_pct]]&gt;=1,"Good",tbl_performance[[#This Row],[performance_pct]]&gt;=0.85,"Average",TRUE,"Poor")</f>
        <v>Poor</v>
      </c>
    </row>
    <row r="780" spans="1:8" ht="19.8" x14ac:dyDescent="0.65">
      <c r="A780" s="58" t="s">
        <v>177</v>
      </c>
      <c r="B780" s="59">
        <v>45717</v>
      </c>
      <c r="C780" s="60">
        <v>288</v>
      </c>
      <c r="D780" s="60">
        <v>235</v>
      </c>
      <c r="E780" s="60" t="str">
        <f>tbl_performance[[#This Row],[employee_id]]&amp;"-"&amp;TEXT(tbl_performance[[#This Row],[month]],"mm")</f>
        <v>EMP1071-03</v>
      </c>
      <c r="F780" s="60">
        <f>COUNTIF(tbl_performance[employee_month_key],tbl_performance[[#This Row],[employee_month_key]])</f>
        <v>1</v>
      </c>
      <c r="G780" s="61">
        <f>tbl_performance[[#This Row],[achieved]]/tbl_performance[[#This Row],[target]]</f>
        <v>0.81597222222222221</v>
      </c>
      <c r="H780" s="60" t="str" cm="1">
        <f t="array" ref="H780">_xlfn.IFS(tbl_performance[[#This Row],[performance_pct]]&gt;=1.1,"Excellent",tbl_performance[[#This Row],[performance_pct]]&gt;=1,"Good",tbl_performance[[#This Row],[performance_pct]]&gt;=0.85,"Average",TRUE,"Poor")</f>
        <v>Poor</v>
      </c>
    </row>
    <row r="781" spans="1:8" ht="19.8" x14ac:dyDescent="0.65">
      <c r="A781" s="58" t="s">
        <v>177</v>
      </c>
      <c r="B781" s="59">
        <v>45748</v>
      </c>
      <c r="C781" s="60">
        <v>282</v>
      </c>
      <c r="D781" s="60">
        <v>222</v>
      </c>
      <c r="E781" s="60" t="str">
        <f>tbl_performance[[#This Row],[employee_id]]&amp;"-"&amp;TEXT(tbl_performance[[#This Row],[month]],"mm")</f>
        <v>EMP1071-04</v>
      </c>
      <c r="F781" s="60">
        <f>COUNTIF(tbl_performance[employee_month_key],tbl_performance[[#This Row],[employee_month_key]])</f>
        <v>1</v>
      </c>
      <c r="G781" s="61">
        <f>tbl_performance[[#This Row],[achieved]]/tbl_performance[[#This Row],[target]]</f>
        <v>0.78723404255319152</v>
      </c>
      <c r="H781" s="60" t="str" cm="1">
        <f t="array" ref="H781">_xlfn.IFS(tbl_performance[[#This Row],[performance_pct]]&gt;=1.1,"Excellent",tbl_performance[[#This Row],[performance_pct]]&gt;=1,"Good",tbl_performance[[#This Row],[performance_pct]]&gt;=0.85,"Average",TRUE,"Poor")</f>
        <v>Poor</v>
      </c>
    </row>
    <row r="782" spans="1:8" ht="19.8" x14ac:dyDescent="0.65">
      <c r="A782" s="58" t="s">
        <v>177</v>
      </c>
      <c r="B782" s="59">
        <v>45778</v>
      </c>
      <c r="C782" s="60">
        <v>282</v>
      </c>
      <c r="D782" s="60">
        <v>232</v>
      </c>
      <c r="E782" s="60" t="str">
        <f>tbl_performance[[#This Row],[employee_id]]&amp;"-"&amp;TEXT(tbl_performance[[#This Row],[month]],"mm")</f>
        <v>EMP1071-05</v>
      </c>
      <c r="F782" s="60">
        <f>COUNTIF(tbl_performance[employee_month_key],tbl_performance[[#This Row],[employee_month_key]])</f>
        <v>1</v>
      </c>
      <c r="G782" s="61">
        <f>tbl_performance[[#This Row],[achieved]]/tbl_performance[[#This Row],[target]]</f>
        <v>0.82269503546099287</v>
      </c>
      <c r="H782" s="60" t="str" cm="1">
        <f t="array" ref="H782">_xlfn.IFS(tbl_performance[[#This Row],[performance_pct]]&gt;=1.1,"Excellent",tbl_performance[[#This Row],[performance_pct]]&gt;=1,"Good",tbl_performance[[#This Row],[performance_pct]]&gt;=0.85,"Average",TRUE,"Poor")</f>
        <v>Poor</v>
      </c>
    </row>
    <row r="783" spans="1:8" ht="19.8" x14ac:dyDescent="0.65">
      <c r="A783" s="58" t="s">
        <v>177</v>
      </c>
      <c r="B783" s="59">
        <v>45809</v>
      </c>
      <c r="C783" s="60">
        <v>277</v>
      </c>
      <c r="D783" s="60">
        <v>201</v>
      </c>
      <c r="E783" s="60" t="str">
        <f>tbl_performance[[#This Row],[employee_id]]&amp;"-"&amp;TEXT(tbl_performance[[#This Row],[month]],"mm")</f>
        <v>EMP1071-06</v>
      </c>
      <c r="F783" s="60">
        <f>COUNTIF(tbl_performance[employee_month_key],tbl_performance[[#This Row],[employee_month_key]])</f>
        <v>1</v>
      </c>
      <c r="G783" s="61">
        <f>tbl_performance[[#This Row],[achieved]]/tbl_performance[[#This Row],[target]]</f>
        <v>0.72563176895306858</v>
      </c>
      <c r="H783" s="60" t="str" cm="1">
        <f t="array" ref="H783">_xlfn.IFS(tbl_performance[[#This Row],[performance_pct]]&gt;=1.1,"Excellent",tbl_performance[[#This Row],[performance_pct]]&gt;=1,"Good",tbl_performance[[#This Row],[performance_pct]]&gt;=0.85,"Average",TRUE,"Poor")</f>
        <v>Poor</v>
      </c>
    </row>
    <row r="784" spans="1:8" ht="19.8" x14ac:dyDescent="0.65">
      <c r="A784" s="58" t="s">
        <v>177</v>
      </c>
      <c r="B784" s="59">
        <v>45839</v>
      </c>
      <c r="C784" s="60">
        <v>282</v>
      </c>
      <c r="D784" s="60">
        <v>222</v>
      </c>
      <c r="E784" s="60" t="str">
        <f>tbl_performance[[#This Row],[employee_id]]&amp;"-"&amp;TEXT(tbl_performance[[#This Row],[month]],"mm")</f>
        <v>EMP1071-07</v>
      </c>
      <c r="F784" s="60">
        <f>COUNTIF(tbl_performance[employee_month_key],tbl_performance[[#This Row],[employee_month_key]])</f>
        <v>1</v>
      </c>
      <c r="G784" s="61">
        <f>tbl_performance[[#This Row],[achieved]]/tbl_performance[[#This Row],[target]]</f>
        <v>0.78723404255319152</v>
      </c>
      <c r="H784" s="60" t="str" cm="1">
        <f t="array" ref="H784">_xlfn.IFS(tbl_performance[[#This Row],[performance_pct]]&gt;=1.1,"Excellent",tbl_performance[[#This Row],[performance_pct]]&gt;=1,"Good",tbl_performance[[#This Row],[performance_pct]]&gt;=0.85,"Average",TRUE,"Poor")</f>
        <v>Poor</v>
      </c>
    </row>
    <row r="785" spans="1:8" ht="19.8" x14ac:dyDescent="0.65">
      <c r="A785" s="58" t="s">
        <v>177</v>
      </c>
      <c r="B785" s="59">
        <v>45870</v>
      </c>
      <c r="C785" s="60">
        <v>274</v>
      </c>
      <c r="D785" s="60">
        <v>196</v>
      </c>
      <c r="E785" s="60" t="str">
        <f>tbl_performance[[#This Row],[employee_id]]&amp;"-"&amp;TEXT(tbl_performance[[#This Row],[month]],"mm")</f>
        <v>EMP1071-08</v>
      </c>
      <c r="F785" s="60">
        <f>COUNTIF(tbl_performance[employee_month_key],tbl_performance[[#This Row],[employee_month_key]])</f>
        <v>1</v>
      </c>
      <c r="G785" s="61">
        <f>tbl_performance[[#This Row],[achieved]]/tbl_performance[[#This Row],[target]]</f>
        <v>0.71532846715328469</v>
      </c>
      <c r="H785" s="60" t="str" cm="1">
        <f t="array" ref="H785">_xlfn.IFS(tbl_performance[[#This Row],[performance_pct]]&gt;=1.1,"Excellent",tbl_performance[[#This Row],[performance_pct]]&gt;=1,"Good",tbl_performance[[#This Row],[performance_pct]]&gt;=0.85,"Average",TRUE,"Poor")</f>
        <v>Poor</v>
      </c>
    </row>
    <row r="786" spans="1:8" ht="19.8" x14ac:dyDescent="0.65">
      <c r="A786" s="58" t="s">
        <v>177</v>
      </c>
      <c r="B786" s="59">
        <v>45901</v>
      </c>
      <c r="C786" s="60">
        <v>282</v>
      </c>
      <c r="D786" s="60">
        <v>245</v>
      </c>
      <c r="E786" s="60" t="str">
        <f>tbl_performance[[#This Row],[employee_id]]&amp;"-"&amp;TEXT(tbl_performance[[#This Row],[month]],"mm")</f>
        <v>EMP1071-09</v>
      </c>
      <c r="F786" s="60">
        <f>COUNTIF(tbl_performance[employee_month_key],tbl_performance[[#This Row],[employee_month_key]])</f>
        <v>1</v>
      </c>
      <c r="G786" s="61">
        <f>tbl_performance[[#This Row],[achieved]]/tbl_performance[[#This Row],[target]]</f>
        <v>0.86879432624113473</v>
      </c>
      <c r="H786" s="60" t="str" cm="1">
        <f t="array" ref="H78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87" spans="1:8" ht="19.8" x14ac:dyDescent="0.65">
      <c r="A787" s="58" t="s">
        <v>177</v>
      </c>
      <c r="B787" s="59">
        <v>45931</v>
      </c>
      <c r="C787" s="60">
        <v>288</v>
      </c>
      <c r="D787" s="60">
        <v>236</v>
      </c>
      <c r="E787" s="60" t="str">
        <f>tbl_performance[[#This Row],[employee_id]]&amp;"-"&amp;TEXT(tbl_performance[[#This Row],[month]],"mm")</f>
        <v>EMP1071-10</v>
      </c>
      <c r="F787" s="60">
        <f>COUNTIF(tbl_performance[employee_month_key],tbl_performance[[#This Row],[employee_month_key]])</f>
        <v>1</v>
      </c>
      <c r="G787" s="61">
        <f>tbl_performance[[#This Row],[achieved]]/tbl_performance[[#This Row],[target]]</f>
        <v>0.81944444444444442</v>
      </c>
      <c r="H787" s="60" t="str" cm="1">
        <f t="array" ref="H787">_xlfn.IFS(tbl_performance[[#This Row],[performance_pct]]&gt;=1.1,"Excellent",tbl_performance[[#This Row],[performance_pct]]&gt;=1,"Good",tbl_performance[[#This Row],[performance_pct]]&gt;=0.85,"Average",TRUE,"Poor")</f>
        <v>Poor</v>
      </c>
    </row>
    <row r="788" spans="1:8" ht="19.8" x14ac:dyDescent="0.65">
      <c r="A788" s="58" t="s">
        <v>177</v>
      </c>
      <c r="B788" s="59">
        <v>45962</v>
      </c>
      <c r="C788" s="60">
        <v>282</v>
      </c>
      <c r="D788" s="60">
        <v>247</v>
      </c>
      <c r="E788" s="60" t="str">
        <f>tbl_performance[[#This Row],[employee_id]]&amp;"-"&amp;TEXT(tbl_performance[[#This Row],[month]],"mm")</f>
        <v>EMP1071-11</v>
      </c>
      <c r="F788" s="60">
        <f>COUNTIF(tbl_performance[employee_month_key],tbl_performance[[#This Row],[employee_month_key]])</f>
        <v>1</v>
      </c>
      <c r="G788" s="61">
        <f>tbl_performance[[#This Row],[achieved]]/tbl_performance[[#This Row],[target]]</f>
        <v>0.87588652482269502</v>
      </c>
      <c r="H788" s="60" t="str" cm="1">
        <f t="array" ref="H78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89" spans="1:8" ht="19.8" x14ac:dyDescent="0.65">
      <c r="A789" s="58" t="s">
        <v>177</v>
      </c>
      <c r="B789" s="59">
        <v>45992</v>
      </c>
      <c r="C789" s="60">
        <v>240</v>
      </c>
      <c r="D789" s="60">
        <v>210</v>
      </c>
      <c r="E789" s="60" t="str">
        <f>tbl_performance[[#This Row],[employee_id]]&amp;"-"&amp;TEXT(tbl_performance[[#This Row],[month]],"mm")</f>
        <v>EMP1071-12</v>
      </c>
      <c r="F789" s="60">
        <f>COUNTIF(tbl_performance[employee_month_key],tbl_performance[[#This Row],[employee_month_key]])</f>
        <v>1</v>
      </c>
      <c r="G789" s="61">
        <f>tbl_performance[[#This Row],[achieved]]/tbl_performance[[#This Row],[target]]</f>
        <v>0.875</v>
      </c>
      <c r="H789" s="60" t="str" cm="1">
        <f t="array" ref="H7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0" spans="1:8" ht="19.8" x14ac:dyDescent="0.65">
      <c r="A790" s="58" t="s">
        <v>179</v>
      </c>
      <c r="B790" s="59">
        <v>45658</v>
      </c>
      <c r="C790" s="60">
        <v>53952</v>
      </c>
      <c r="D790" s="60">
        <v>52311</v>
      </c>
      <c r="E790" s="60" t="str">
        <f>tbl_performance[[#This Row],[employee_id]]&amp;"-"&amp;TEXT(tbl_performance[[#This Row],[month]],"mm")</f>
        <v>EMP1072-01</v>
      </c>
      <c r="F790" s="60">
        <f>COUNTIF(tbl_performance[employee_month_key],tbl_performance[[#This Row],[employee_month_key]])</f>
        <v>1</v>
      </c>
      <c r="G790" s="61">
        <f>tbl_performance[[#This Row],[achieved]]/tbl_performance[[#This Row],[target]]</f>
        <v>0.96958407473309605</v>
      </c>
      <c r="H790" s="60" t="str" cm="1">
        <f t="array" ref="H79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1" spans="1:8" ht="19.8" x14ac:dyDescent="0.65">
      <c r="A791" s="58" t="s">
        <v>179</v>
      </c>
      <c r="B791" s="59">
        <v>45689</v>
      </c>
      <c r="C791" s="60">
        <v>50175</v>
      </c>
      <c r="D791" s="60">
        <v>53147</v>
      </c>
      <c r="E791" s="60" t="str">
        <f>tbl_performance[[#This Row],[employee_id]]&amp;"-"&amp;TEXT(tbl_performance[[#This Row],[month]],"mm")</f>
        <v>EMP1072-02</v>
      </c>
      <c r="F791" s="60">
        <f>COUNTIF(tbl_performance[employee_month_key],tbl_performance[[#This Row],[employee_month_key]])</f>
        <v>1</v>
      </c>
      <c r="G791" s="61">
        <f>tbl_performance[[#This Row],[achieved]]/tbl_performance[[#This Row],[target]]</f>
        <v>1.0592326856003986</v>
      </c>
      <c r="H791" s="60" t="str" cm="1">
        <f t="array" ref="H791">_xlfn.IFS(tbl_performance[[#This Row],[performance_pct]]&gt;=1.1,"Excellent",tbl_performance[[#This Row],[performance_pct]]&gt;=1,"Good",tbl_performance[[#This Row],[performance_pct]]&gt;=0.85,"Average",TRUE,"Poor")</f>
        <v>Good</v>
      </c>
    </row>
    <row r="792" spans="1:8" ht="19.8" x14ac:dyDescent="0.65">
      <c r="A792" s="58" t="s">
        <v>179</v>
      </c>
      <c r="B792" s="59">
        <v>45717</v>
      </c>
      <c r="C792" s="60">
        <v>55031</v>
      </c>
      <c r="D792" s="60">
        <v>53760</v>
      </c>
      <c r="E792" s="60" t="str">
        <f>tbl_performance[[#This Row],[employee_id]]&amp;"-"&amp;TEXT(tbl_performance[[#This Row],[month]],"mm")</f>
        <v>EMP1072-03</v>
      </c>
      <c r="F792" s="60">
        <f>COUNTIF(tbl_performance[employee_month_key],tbl_performance[[#This Row],[employee_month_key]])</f>
        <v>1</v>
      </c>
      <c r="G792" s="61">
        <f>tbl_performance[[#This Row],[achieved]]/tbl_performance[[#This Row],[target]]</f>
        <v>0.9769039268775781</v>
      </c>
      <c r="H792" s="60" t="str" cm="1">
        <f t="array" ref="H79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3" spans="1:8" ht="19.8" x14ac:dyDescent="0.65">
      <c r="A793" s="58" t="s">
        <v>179</v>
      </c>
      <c r="B793" s="59">
        <v>45748</v>
      </c>
      <c r="C793" s="60">
        <v>53952</v>
      </c>
      <c r="D793" s="60">
        <v>55525</v>
      </c>
      <c r="E793" s="60" t="str">
        <f>tbl_performance[[#This Row],[employee_id]]&amp;"-"&amp;TEXT(tbl_performance[[#This Row],[month]],"mm")</f>
        <v>EMP1072-04</v>
      </c>
      <c r="F793" s="60">
        <f>COUNTIF(tbl_performance[employee_month_key],tbl_performance[[#This Row],[employee_month_key]])</f>
        <v>1</v>
      </c>
      <c r="G793" s="61">
        <f>tbl_performance[[#This Row],[achieved]]/tbl_performance[[#This Row],[target]]</f>
        <v>1.0291555456702255</v>
      </c>
      <c r="H793" s="60" t="str" cm="1">
        <f t="array" ref="H793">_xlfn.IFS(tbl_performance[[#This Row],[performance_pct]]&gt;=1.1,"Excellent",tbl_performance[[#This Row],[performance_pct]]&gt;=1,"Good",tbl_performance[[#This Row],[performance_pct]]&gt;=0.85,"Average",TRUE,"Poor")</f>
        <v>Good</v>
      </c>
    </row>
    <row r="794" spans="1:8" ht="19.8" x14ac:dyDescent="0.65">
      <c r="A794" s="58" t="s">
        <v>179</v>
      </c>
      <c r="B794" s="59">
        <v>45778</v>
      </c>
      <c r="C794" s="60">
        <v>53952</v>
      </c>
      <c r="D794" s="60">
        <v>51269</v>
      </c>
      <c r="E794" s="60" t="str">
        <f>tbl_performance[[#This Row],[employee_id]]&amp;"-"&amp;TEXT(tbl_performance[[#This Row],[month]],"mm")</f>
        <v>EMP1072-05</v>
      </c>
      <c r="F794" s="60">
        <f>COUNTIF(tbl_performance[employee_month_key],tbl_performance[[#This Row],[employee_month_key]])</f>
        <v>1</v>
      </c>
      <c r="G794" s="61">
        <f>tbl_performance[[#This Row],[achieved]]/tbl_performance[[#This Row],[target]]</f>
        <v>0.95027061091340448</v>
      </c>
      <c r="H794" s="60" t="str" cm="1">
        <f t="array" ref="H79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5" spans="1:8" ht="19.8" x14ac:dyDescent="0.65">
      <c r="A795" s="58" t="s">
        <v>179</v>
      </c>
      <c r="B795" s="59">
        <v>45809</v>
      </c>
      <c r="C795" s="60">
        <v>52873</v>
      </c>
      <c r="D795" s="60">
        <v>58387</v>
      </c>
      <c r="E795" s="60" t="str">
        <f>tbl_performance[[#This Row],[employee_id]]&amp;"-"&amp;TEXT(tbl_performance[[#This Row],[month]],"mm")</f>
        <v>EMP1072-06</v>
      </c>
      <c r="F795" s="60">
        <f>COUNTIF(tbl_performance[employee_month_key],tbl_performance[[#This Row],[employee_month_key]])</f>
        <v>1</v>
      </c>
      <c r="G795" s="61">
        <f>tbl_performance[[#This Row],[achieved]]/tbl_performance[[#This Row],[target]]</f>
        <v>1.1042876326291302</v>
      </c>
      <c r="H795" s="60" t="str" cm="1">
        <f t="array" ref="H79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96" spans="1:8" ht="19.8" x14ac:dyDescent="0.65">
      <c r="A796" s="58" t="s">
        <v>179</v>
      </c>
      <c r="B796" s="59">
        <v>45839</v>
      </c>
      <c r="C796" s="60">
        <v>53952</v>
      </c>
      <c r="D796" s="60">
        <v>48212</v>
      </c>
      <c r="E796" s="60" t="str">
        <f>tbl_performance[[#This Row],[employee_id]]&amp;"-"&amp;TEXT(tbl_performance[[#This Row],[month]],"mm")</f>
        <v>EMP1072-07</v>
      </c>
      <c r="F796" s="60">
        <f>COUNTIF(tbl_performance[employee_month_key],tbl_performance[[#This Row],[employee_month_key]])</f>
        <v>1</v>
      </c>
      <c r="G796" s="61">
        <f>tbl_performance[[#This Row],[achieved]]/tbl_performance[[#This Row],[target]]</f>
        <v>0.89360913404507714</v>
      </c>
      <c r="H796" s="60" t="str" cm="1">
        <f t="array" ref="H79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7" spans="1:8" ht="19.8" x14ac:dyDescent="0.65">
      <c r="A797" s="58" t="s">
        <v>179</v>
      </c>
      <c r="B797" s="59">
        <v>45870</v>
      </c>
      <c r="C797" s="60">
        <v>52333</v>
      </c>
      <c r="D797" s="60">
        <v>59783</v>
      </c>
      <c r="E797" s="60" t="str">
        <f>tbl_performance[[#This Row],[employee_id]]&amp;"-"&amp;TEXT(tbl_performance[[#This Row],[month]],"mm")</f>
        <v>EMP1072-08</v>
      </c>
      <c r="F797" s="60">
        <f>COUNTIF(tbl_performance[employee_month_key],tbl_performance[[#This Row],[employee_month_key]])</f>
        <v>1</v>
      </c>
      <c r="G797" s="61">
        <f>tbl_performance[[#This Row],[achieved]]/tbl_performance[[#This Row],[target]]</f>
        <v>1.1423575946343607</v>
      </c>
      <c r="H797" s="60" t="str" cm="1">
        <f t="array" ref="H79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798" spans="1:8" ht="19.8" x14ac:dyDescent="0.65">
      <c r="A798" s="58" t="s">
        <v>179</v>
      </c>
      <c r="B798" s="59">
        <v>45901</v>
      </c>
      <c r="C798" s="60">
        <v>53952</v>
      </c>
      <c r="D798" s="60">
        <v>51755</v>
      </c>
      <c r="E798" s="60" t="str">
        <f>tbl_performance[[#This Row],[employee_id]]&amp;"-"&amp;TEXT(tbl_performance[[#This Row],[month]],"mm")</f>
        <v>EMP1072-09</v>
      </c>
      <c r="F798" s="60">
        <f>COUNTIF(tbl_performance[employee_month_key],tbl_performance[[#This Row],[employee_month_key]])</f>
        <v>1</v>
      </c>
      <c r="G798" s="61">
        <f>tbl_performance[[#This Row],[achieved]]/tbl_performance[[#This Row],[target]]</f>
        <v>0.95927861803084225</v>
      </c>
      <c r="H798" s="60" t="str" cm="1">
        <f t="array" ref="H79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799" spans="1:8" ht="19.8" x14ac:dyDescent="0.65">
      <c r="A799" s="58" t="s">
        <v>179</v>
      </c>
      <c r="B799" s="59">
        <v>45931</v>
      </c>
      <c r="C799" s="60">
        <v>55031</v>
      </c>
      <c r="D799" s="60">
        <v>45192</v>
      </c>
      <c r="E799" s="60" t="str">
        <f>tbl_performance[[#This Row],[employee_id]]&amp;"-"&amp;TEXT(tbl_performance[[#This Row],[month]],"mm")</f>
        <v>EMP1072-10</v>
      </c>
      <c r="F799" s="60">
        <f>COUNTIF(tbl_performance[employee_month_key],tbl_performance[[#This Row],[employee_month_key]])</f>
        <v>1</v>
      </c>
      <c r="G799" s="61">
        <f>tbl_performance[[#This Row],[achieved]]/tbl_performance[[#This Row],[target]]</f>
        <v>0.82120986353146408</v>
      </c>
      <c r="H799" s="60" t="str" cm="1">
        <f t="array" ref="H799">_xlfn.IFS(tbl_performance[[#This Row],[performance_pct]]&gt;=1.1,"Excellent",tbl_performance[[#This Row],[performance_pct]]&gt;=1,"Good",tbl_performance[[#This Row],[performance_pct]]&gt;=0.85,"Average",TRUE,"Poor")</f>
        <v>Poor</v>
      </c>
    </row>
    <row r="800" spans="1:8" ht="19.8" x14ac:dyDescent="0.65">
      <c r="A800" s="58" t="s">
        <v>179</v>
      </c>
      <c r="B800" s="59">
        <v>45962</v>
      </c>
      <c r="C800" s="60">
        <v>53952</v>
      </c>
      <c r="D800" s="60">
        <v>58166</v>
      </c>
      <c r="E800" s="60" t="str">
        <f>tbl_performance[[#This Row],[employee_id]]&amp;"-"&amp;TEXT(tbl_performance[[#This Row],[month]],"mm")</f>
        <v>EMP1072-11</v>
      </c>
      <c r="F800" s="60">
        <f>COUNTIF(tbl_performance[employee_month_key],tbl_performance[[#This Row],[employee_month_key]])</f>
        <v>1</v>
      </c>
      <c r="G800" s="61">
        <f>tbl_performance[[#This Row],[achieved]]/tbl_performance[[#This Row],[target]]</f>
        <v>1.0781064650059311</v>
      </c>
      <c r="H800" s="60" t="str" cm="1">
        <f t="array" ref="H800">_xlfn.IFS(tbl_performance[[#This Row],[performance_pct]]&gt;=1.1,"Excellent",tbl_performance[[#This Row],[performance_pct]]&gt;=1,"Good",tbl_performance[[#This Row],[performance_pct]]&gt;=0.85,"Average",TRUE,"Poor")</f>
        <v>Good</v>
      </c>
    </row>
    <row r="801" spans="1:8" ht="19.8" x14ac:dyDescent="0.65">
      <c r="A801" s="58" t="s">
        <v>179</v>
      </c>
      <c r="B801" s="59">
        <v>45992</v>
      </c>
      <c r="C801" s="60">
        <v>45859</v>
      </c>
      <c r="D801" s="60">
        <v>47610</v>
      </c>
      <c r="E801" s="60" t="str">
        <f>tbl_performance[[#This Row],[employee_id]]&amp;"-"&amp;TEXT(tbl_performance[[#This Row],[month]],"mm")</f>
        <v>EMP1072-12</v>
      </c>
      <c r="F801" s="60">
        <f>COUNTIF(tbl_performance[employee_month_key],tbl_performance[[#This Row],[employee_month_key]])</f>
        <v>1</v>
      </c>
      <c r="G801" s="61">
        <f>tbl_performance[[#This Row],[achieved]]/tbl_performance[[#This Row],[target]]</f>
        <v>1.0381822543012276</v>
      </c>
      <c r="H801" s="60" t="str" cm="1">
        <f t="array" ref="H801">_xlfn.IFS(tbl_performance[[#This Row],[performance_pct]]&gt;=1.1,"Excellent",tbl_performance[[#This Row],[performance_pct]]&gt;=1,"Good",tbl_performance[[#This Row],[performance_pct]]&gt;=0.85,"Average",TRUE,"Poor")</f>
        <v>Good</v>
      </c>
    </row>
    <row r="802" spans="1:8" ht="19.8" x14ac:dyDescent="0.65">
      <c r="A802" s="58" t="s">
        <v>181</v>
      </c>
      <c r="B802" s="59">
        <v>45658</v>
      </c>
      <c r="C802" s="60">
        <v>233</v>
      </c>
      <c r="D802" s="60">
        <v>204</v>
      </c>
      <c r="E802" s="60" t="str">
        <f>tbl_performance[[#This Row],[employee_id]]&amp;"-"&amp;TEXT(tbl_performance[[#This Row],[month]],"mm")</f>
        <v>EMP1073-01</v>
      </c>
      <c r="F802" s="60">
        <f>COUNTIF(tbl_performance[employee_month_key],tbl_performance[[#This Row],[employee_month_key]])</f>
        <v>1</v>
      </c>
      <c r="G802" s="61">
        <f>tbl_performance[[#This Row],[achieved]]/tbl_performance[[#This Row],[target]]</f>
        <v>0.87553648068669532</v>
      </c>
      <c r="H802" s="60" t="str" cm="1">
        <f t="array" ref="H80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03" spans="1:8" ht="19.8" x14ac:dyDescent="0.65">
      <c r="A803" s="58" t="s">
        <v>181</v>
      </c>
      <c r="B803" s="59">
        <v>45689</v>
      </c>
      <c r="C803" s="60">
        <v>217</v>
      </c>
      <c r="D803" s="60">
        <v>193</v>
      </c>
      <c r="E803" s="60" t="str">
        <f>tbl_performance[[#This Row],[employee_id]]&amp;"-"&amp;TEXT(tbl_performance[[#This Row],[month]],"mm")</f>
        <v>EMP1073-02</v>
      </c>
      <c r="F803" s="60">
        <f>COUNTIF(tbl_performance[employee_month_key],tbl_performance[[#This Row],[employee_month_key]])</f>
        <v>1</v>
      </c>
      <c r="G803" s="61">
        <f>tbl_performance[[#This Row],[achieved]]/tbl_performance[[#This Row],[target]]</f>
        <v>0.88940092165898621</v>
      </c>
      <c r="H803" s="60" t="str" cm="1">
        <f t="array" ref="H80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04" spans="1:8" ht="19.8" x14ac:dyDescent="0.65">
      <c r="A804" s="58" t="s">
        <v>181</v>
      </c>
      <c r="B804" s="59">
        <v>45717</v>
      </c>
      <c r="C804" s="60">
        <v>238</v>
      </c>
      <c r="D804" s="60">
        <v>193</v>
      </c>
      <c r="E804" s="60" t="str">
        <f>tbl_performance[[#This Row],[employee_id]]&amp;"-"&amp;TEXT(tbl_performance[[#This Row],[month]],"mm")</f>
        <v>EMP1073-03</v>
      </c>
      <c r="F804" s="60">
        <f>COUNTIF(tbl_performance[employee_month_key],tbl_performance[[#This Row],[employee_month_key]])</f>
        <v>1</v>
      </c>
      <c r="G804" s="61">
        <f>tbl_performance[[#This Row],[achieved]]/tbl_performance[[#This Row],[target]]</f>
        <v>0.81092436974789917</v>
      </c>
      <c r="H804" s="60" t="str" cm="1">
        <f t="array" ref="H804">_xlfn.IFS(tbl_performance[[#This Row],[performance_pct]]&gt;=1.1,"Excellent",tbl_performance[[#This Row],[performance_pct]]&gt;=1,"Good",tbl_performance[[#This Row],[performance_pct]]&gt;=0.85,"Average",TRUE,"Poor")</f>
        <v>Poor</v>
      </c>
    </row>
    <row r="805" spans="1:8" ht="19.8" x14ac:dyDescent="0.65">
      <c r="A805" s="58" t="s">
        <v>181</v>
      </c>
      <c r="B805" s="59">
        <v>45748</v>
      </c>
      <c r="C805" s="60">
        <v>233</v>
      </c>
      <c r="D805" s="60">
        <v>207</v>
      </c>
      <c r="E805" s="60" t="str">
        <f>tbl_performance[[#This Row],[employee_id]]&amp;"-"&amp;TEXT(tbl_performance[[#This Row],[month]],"mm")</f>
        <v>EMP1073-04</v>
      </c>
      <c r="F805" s="60">
        <f>COUNTIF(tbl_performance[employee_month_key],tbl_performance[[#This Row],[employee_month_key]])</f>
        <v>1</v>
      </c>
      <c r="G805" s="61">
        <f>tbl_performance[[#This Row],[achieved]]/tbl_performance[[#This Row],[target]]</f>
        <v>0.88841201716738194</v>
      </c>
      <c r="H805" s="60" t="str" cm="1">
        <f t="array" ref="H8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06" spans="1:8" ht="19.8" x14ac:dyDescent="0.65">
      <c r="A806" s="58" t="s">
        <v>181</v>
      </c>
      <c r="B806" s="59">
        <v>45778</v>
      </c>
      <c r="C806" s="60">
        <v>233</v>
      </c>
      <c r="D806" s="60">
        <v>182</v>
      </c>
      <c r="E806" s="60" t="str">
        <f>tbl_performance[[#This Row],[employee_id]]&amp;"-"&amp;TEXT(tbl_performance[[#This Row],[month]],"mm")</f>
        <v>EMP1073-05</v>
      </c>
      <c r="F806" s="60">
        <f>COUNTIF(tbl_performance[employee_month_key],tbl_performance[[#This Row],[employee_month_key]])</f>
        <v>1</v>
      </c>
      <c r="G806" s="61">
        <f>tbl_performance[[#This Row],[achieved]]/tbl_performance[[#This Row],[target]]</f>
        <v>0.7811158798283262</v>
      </c>
      <c r="H806" s="60" t="str" cm="1">
        <f t="array" ref="H806">_xlfn.IFS(tbl_performance[[#This Row],[performance_pct]]&gt;=1.1,"Excellent",tbl_performance[[#This Row],[performance_pct]]&gt;=1,"Good",tbl_performance[[#This Row],[performance_pct]]&gt;=0.85,"Average",TRUE,"Poor")</f>
        <v>Poor</v>
      </c>
    </row>
    <row r="807" spans="1:8" ht="19.8" x14ac:dyDescent="0.65">
      <c r="A807" s="58" t="s">
        <v>181</v>
      </c>
      <c r="B807" s="59">
        <v>45809</v>
      </c>
      <c r="C807" s="60">
        <v>229</v>
      </c>
      <c r="D807" s="60">
        <v>190</v>
      </c>
      <c r="E807" s="60" t="str">
        <f>tbl_performance[[#This Row],[employee_id]]&amp;"-"&amp;TEXT(tbl_performance[[#This Row],[month]],"mm")</f>
        <v>EMP1073-06</v>
      </c>
      <c r="F807" s="60">
        <f>COUNTIF(tbl_performance[employee_month_key],tbl_performance[[#This Row],[employee_month_key]])</f>
        <v>1</v>
      </c>
      <c r="G807" s="61">
        <f>tbl_performance[[#This Row],[achieved]]/tbl_performance[[#This Row],[target]]</f>
        <v>0.82969432314410485</v>
      </c>
      <c r="H807" s="60" t="str" cm="1">
        <f t="array" ref="H807">_xlfn.IFS(tbl_performance[[#This Row],[performance_pct]]&gt;=1.1,"Excellent",tbl_performance[[#This Row],[performance_pct]]&gt;=1,"Good",tbl_performance[[#This Row],[performance_pct]]&gt;=0.85,"Average",TRUE,"Poor")</f>
        <v>Poor</v>
      </c>
    </row>
    <row r="808" spans="1:8" ht="19.8" x14ac:dyDescent="0.65">
      <c r="A808" s="58" t="s">
        <v>181</v>
      </c>
      <c r="B808" s="59">
        <v>45839</v>
      </c>
      <c r="C808" s="60">
        <v>233</v>
      </c>
      <c r="D808" s="60">
        <v>223</v>
      </c>
      <c r="E808" s="60" t="str">
        <f>tbl_performance[[#This Row],[employee_id]]&amp;"-"&amp;TEXT(tbl_performance[[#This Row],[month]],"mm")</f>
        <v>EMP1073-07</v>
      </c>
      <c r="F808" s="60">
        <f>COUNTIF(tbl_performance[employee_month_key],tbl_performance[[#This Row],[employee_month_key]])</f>
        <v>1</v>
      </c>
      <c r="G808" s="61">
        <f>tbl_performance[[#This Row],[achieved]]/tbl_performance[[#This Row],[target]]</f>
        <v>0.9570815450643777</v>
      </c>
      <c r="H808" s="60" t="str" cm="1">
        <f t="array" ref="H80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09" spans="1:8" ht="19.8" x14ac:dyDescent="0.65">
      <c r="A809" s="58" t="s">
        <v>181</v>
      </c>
      <c r="B809" s="59">
        <v>45870</v>
      </c>
      <c r="C809" s="60">
        <v>226</v>
      </c>
      <c r="D809" s="60">
        <v>183</v>
      </c>
      <c r="E809" s="60" t="str">
        <f>tbl_performance[[#This Row],[employee_id]]&amp;"-"&amp;TEXT(tbl_performance[[#This Row],[month]],"mm")</f>
        <v>EMP1073-08</v>
      </c>
      <c r="F809" s="60">
        <f>COUNTIF(tbl_performance[employee_month_key],tbl_performance[[#This Row],[employee_month_key]])</f>
        <v>1</v>
      </c>
      <c r="G809" s="61">
        <f>tbl_performance[[#This Row],[achieved]]/tbl_performance[[#This Row],[target]]</f>
        <v>0.80973451327433632</v>
      </c>
      <c r="H809" s="60" t="str" cm="1">
        <f t="array" ref="H809">_xlfn.IFS(tbl_performance[[#This Row],[performance_pct]]&gt;=1.1,"Excellent",tbl_performance[[#This Row],[performance_pct]]&gt;=1,"Good",tbl_performance[[#This Row],[performance_pct]]&gt;=0.85,"Average",TRUE,"Poor")</f>
        <v>Poor</v>
      </c>
    </row>
    <row r="810" spans="1:8" ht="19.8" x14ac:dyDescent="0.65">
      <c r="A810" s="58" t="s">
        <v>181</v>
      </c>
      <c r="B810" s="59">
        <v>45901</v>
      </c>
      <c r="C810" s="60">
        <v>233</v>
      </c>
      <c r="D810" s="60">
        <v>208</v>
      </c>
      <c r="E810" s="60" t="str">
        <f>tbl_performance[[#This Row],[employee_id]]&amp;"-"&amp;TEXT(tbl_performance[[#This Row],[month]],"mm")</f>
        <v>EMP1073-09</v>
      </c>
      <c r="F810" s="60">
        <f>COUNTIF(tbl_performance[employee_month_key],tbl_performance[[#This Row],[employee_month_key]])</f>
        <v>1</v>
      </c>
      <c r="G810" s="61">
        <f>tbl_performance[[#This Row],[achieved]]/tbl_performance[[#This Row],[target]]</f>
        <v>0.89270386266094426</v>
      </c>
      <c r="H810" s="60" t="str" cm="1">
        <f t="array" ref="H81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1" spans="1:8" ht="19.8" x14ac:dyDescent="0.65">
      <c r="A811" s="58" t="s">
        <v>181</v>
      </c>
      <c r="B811" s="59">
        <v>45931</v>
      </c>
      <c r="C811" s="60">
        <v>238</v>
      </c>
      <c r="D811" s="60">
        <v>206</v>
      </c>
      <c r="E811" s="60" t="str">
        <f>tbl_performance[[#This Row],[employee_id]]&amp;"-"&amp;TEXT(tbl_performance[[#This Row],[month]],"mm")</f>
        <v>EMP1073-10</v>
      </c>
      <c r="F811" s="60">
        <f>COUNTIF(tbl_performance[employee_month_key],tbl_performance[[#This Row],[employee_month_key]])</f>
        <v>1</v>
      </c>
      <c r="G811" s="61">
        <f>tbl_performance[[#This Row],[achieved]]/tbl_performance[[#This Row],[target]]</f>
        <v>0.86554621848739499</v>
      </c>
      <c r="H811" s="60" t="str" cm="1">
        <f t="array" ref="H81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2" spans="1:8" ht="19.8" x14ac:dyDescent="0.65">
      <c r="A812" s="58" t="s">
        <v>181</v>
      </c>
      <c r="B812" s="59">
        <v>45962</v>
      </c>
      <c r="C812" s="60">
        <v>233</v>
      </c>
      <c r="D812" s="60">
        <v>214</v>
      </c>
      <c r="E812" s="60" t="str">
        <f>tbl_performance[[#This Row],[employee_id]]&amp;"-"&amp;TEXT(tbl_performance[[#This Row],[month]],"mm")</f>
        <v>EMP1073-11</v>
      </c>
      <c r="F812" s="60">
        <f>COUNTIF(tbl_performance[employee_month_key],tbl_performance[[#This Row],[employee_month_key]])</f>
        <v>1</v>
      </c>
      <c r="G812" s="61">
        <f>tbl_performance[[#This Row],[achieved]]/tbl_performance[[#This Row],[target]]</f>
        <v>0.91845493562231761</v>
      </c>
      <c r="H812" s="60" t="str" cm="1">
        <f t="array" ref="H8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3" spans="1:8" ht="19.8" x14ac:dyDescent="0.65">
      <c r="A813" s="58" t="s">
        <v>181</v>
      </c>
      <c r="B813" s="59">
        <v>45992</v>
      </c>
      <c r="C813" s="60">
        <v>198</v>
      </c>
      <c r="D813" s="60">
        <v>169</v>
      </c>
      <c r="E813" s="60" t="str">
        <f>tbl_performance[[#This Row],[employee_id]]&amp;"-"&amp;TEXT(tbl_performance[[#This Row],[month]],"mm")</f>
        <v>EMP1073-12</v>
      </c>
      <c r="F813" s="60">
        <f>COUNTIF(tbl_performance[employee_month_key],tbl_performance[[#This Row],[employee_month_key]])</f>
        <v>1</v>
      </c>
      <c r="G813" s="61">
        <f>tbl_performance[[#This Row],[achieved]]/tbl_performance[[#This Row],[target]]</f>
        <v>0.85353535353535348</v>
      </c>
      <c r="H813" s="60" t="str" cm="1">
        <f t="array" ref="H81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4" spans="1:8" ht="19.8" x14ac:dyDescent="0.65">
      <c r="A814" s="58" t="s">
        <v>183</v>
      </c>
      <c r="B814" s="59">
        <v>45658</v>
      </c>
      <c r="C814" s="60">
        <v>21</v>
      </c>
      <c r="D814" s="60">
        <v>21</v>
      </c>
      <c r="E814" s="60" t="str">
        <f>tbl_performance[[#This Row],[employee_id]]&amp;"-"&amp;TEXT(tbl_performance[[#This Row],[month]],"mm")</f>
        <v>EMP1074-01</v>
      </c>
      <c r="F814" s="60">
        <f>COUNTIF(tbl_performance[employee_month_key],tbl_performance[[#This Row],[employee_month_key]])</f>
        <v>1</v>
      </c>
      <c r="G814" s="61">
        <f>tbl_performance[[#This Row],[achieved]]/tbl_performance[[#This Row],[target]]</f>
        <v>1</v>
      </c>
      <c r="H814" s="60" t="str" cm="1">
        <f t="array" ref="H814">_xlfn.IFS(tbl_performance[[#This Row],[performance_pct]]&gt;=1.1,"Excellent",tbl_performance[[#This Row],[performance_pct]]&gt;=1,"Good",tbl_performance[[#This Row],[performance_pct]]&gt;=0.85,"Average",TRUE,"Poor")</f>
        <v>Good</v>
      </c>
    </row>
    <row r="815" spans="1:8" ht="19.8" x14ac:dyDescent="0.65">
      <c r="A815" s="58" t="s">
        <v>183</v>
      </c>
      <c r="B815" s="59">
        <v>45689</v>
      </c>
      <c r="C815" s="60">
        <v>19</v>
      </c>
      <c r="D815" s="60">
        <v>19</v>
      </c>
      <c r="E815" s="60" t="str">
        <f>tbl_performance[[#This Row],[employee_id]]&amp;"-"&amp;TEXT(tbl_performance[[#This Row],[month]],"mm")</f>
        <v>EMP1074-02</v>
      </c>
      <c r="F815" s="60">
        <f>COUNTIF(tbl_performance[employee_month_key],tbl_performance[[#This Row],[employee_month_key]])</f>
        <v>1</v>
      </c>
      <c r="G815" s="61">
        <f>tbl_performance[[#This Row],[achieved]]/tbl_performance[[#This Row],[target]]</f>
        <v>1</v>
      </c>
      <c r="H815" s="60" t="str" cm="1">
        <f t="array" ref="H815">_xlfn.IFS(tbl_performance[[#This Row],[performance_pct]]&gt;=1.1,"Excellent",tbl_performance[[#This Row],[performance_pct]]&gt;=1,"Good",tbl_performance[[#This Row],[performance_pct]]&gt;=0.85,"Average",TRUE,"Poor")</f>
        <v>Good</v>
      </c>
    </row>
    <row r="816" spans="1:8" ht="19.8" x14ac:dyDescent="0.65">
      <c r="A816" s="58" t="s">
        <v>183</v>
      </c>
      <c r="B816" s="59">
        <v>45717</v>
      </c>
      <c r="C816" s="60">
        <v>21</v>
      </c>
      <c r="D816" s="60">
        <v>20</v>
      </c>
      <c r="E816" s="60" t="str">
        <f>tbl_performance[[#This Row],[employee_id]]&amp;"-"&amp;TEXT(tbl_performance[[#This Row],[month]],"mm")</f>
        <v>EMP1074-03</v>
      </c>
      <c r="F816" s="60">
        <f>COUNTIF(tbl_performance[employee_month_key],tbl_performance[[#This Row],[employee_month_key]])</f>
        <v>1</v>
      </c>
      <c r="G816" s="61">
        <f>tbl_performance[[#This Row],[achieved]]/tbl_performance[[#This Row],[target]]</f>
        <v>0.95238095238095233</v>
      </c>
      <c r="H816" s="60" t="str" cm="1">
        <f t="array" ref="H81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7" spans="1:8" ht="19.8" x14ac:dyDescent="0.65">
      <c r="A817" s="58" t="s">
        <v>183</v>
      </c>
      <c r="B817" s="59">
        <v>45748</v>
      </c>
      <c r="C817" s="60">
        <v>21</v>
      </c>
      <c r="D817" s="60">
        <v>20</v>
      </c>
      <c r="E817" s="60" t="str">
        <f>tbl_performance[[#This Row],[employee_id]]&amp;"-"&amp;TEXT(tbl_performance[[#This Row],[month]],"mm")</f>
        <v>EMP1074-04</v>
      </c>
      <c r="F817" s="60">
        <f>COUNTIF(tbl_performance[employee_month_key],tbl_performance[[#This Row],[employee_month_key]])</f>
        <v>1</v>
      </c>
      <c r="G817" s="61">
        <f>tbl_performance[[#This Row],[achieved]]/tbl_performance[[#This Row],[target]]</f>
        <v>0.95238095238095233</v>
      </c>
      <c r="H817" s="60" t="str" cm="1">
        <f t="array" ref="H81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18" spans="1:8" ht="19.8" x14ac:dyDescent="0.65">
      <c r="A818" s="58" t="s">
        <v>183</v>
      </c>
      <c r="B818" s="59">
        <v>45778</v>
      </c>
      <c r="C818" s="60">
        <v>21</v>
      </c>
      <c r="D818" s="60">
        <v>21</v>
      </c>
      <c r="E818" s="60" t="str">
        <f>tbl_performance[[#This Row],[employee_id]]&amp;"-"&amp;TEXT(tbl_performance[[#This Row],[month]],"mm")</f>
        <v>EMP1074-05</v>
      </c>
      <c r="F818" s="60">
        <f>COUNTIF(tbl_performance[employee_month_key],tbl_performance[[#This Row],[employee_month_key]])</f>
        <v>1</v>
      </c>
      <c r="G818" s="61">
        <f>tbl_performance[[#This Row],[achieved]]/tbl_performance[[#This Row],[target]]</f>
        <v>1</v>
      </c>
      <c r="H818" s="60" t="str" cm="1">
        <f t="array" ref="H818">_xlfn.IFS(tbl_performance[[#This Row],[performance_pct]]&gt;=1.1,"Excellent",tbl_performance[[#This Row],[performance_pct]]&gt;=1,"Good",tbl_performance[[#This Row],[performance_pct]]&gt;=0.85,"Average",TRUE,"Poor")</f>
        <v>Good</v>
      </c>
    </row>
    <row r="819" spans="1:8" ht="19.8" x14ac:dyDescent="0.65">
      <c r="A819" s="58" t="s">
        <v>183</v>
      </c>
      <c r="B819" s="59">
        <v>45809</v>
      </c>
      <c r="C819" s="60">
        <v>21</v>
      </c>
      <c r="D819" s="60">
        <v>19</v>
      </c>
      <c r="E819" s="60" t="str">
        <f>tbl_performance[[#This Row],[employee_id]]&amp;"-"&amp;TEXT(tbl_performance[[#This Row],[month]],"mm")</f>
        <v>EMP1074-06</v>
      </c>
      <c r="F819" s="60">
        <f>COUNTIF(tbl_performance[employee_month_key],tbl_performance[[#This Row],[employee_month_key]])</f>
        <v>1</v>
      </c>
      <c r="G819" s="61">
        <f>tbl_performance[[#This Row],[achieved]]/tbl_performance[[#This Row],[target]]</f>
        <v>0.90476190476190477</v>
      </c>
      <c r="H819" s="60" t="str" cm="1">
        <f t="array" ref="H8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0" spans="1:8" ht="19.8" x14ac:dyDescent="0.65">
      <c r="A820" s="58" t="s">
        <v>183</v>
      </c>
      <c r="B820" s="59">
        <v>45839</v>
      </c>
      <c r="C820" s="60">
        <v>21</v>
      </c>
      <c r="D820" s="60">
        <v>20</v>
      </c>
      <c r="E820" s="60" t="str">
        <f>tbl_performance[[#This Row],[employee_id]]&amp;"-"&amp;TEXT(tbl_performance[[#This Row],[month]],"mm")</f>
        <v>EMP1074-07</v>
      </c>
      <c r="F820" s="60">
        <f>COUNTIF(tbl_performance[employee_month_key],tbl_performance[[#This Row],[employee_month_key]])</f>
        <v>1</v>
      </c>
      <c r="G820" s="61">
        <f>tbl_performance[[#This Row],[achieved]]/tbl_performance[[#This Row],[target]]</f>
        <v>0.95238095238095233</v>
      </c>
      <c r="H820" s="60" t="str" cm="1">
        <f t="array" ref="H82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1" spans="1:8" ht="19.8" x14ac:dyDescent="0.65">
      <c r="A821" s="58" t="s">
        <v>183</v>
      </c>
      <c r="B821" s="59">
        <v>45870</v>
      </c>
      <c r="C821" s="60">
        <v>20</v>
      </c>
      <c r="D821" s="60">
        <v>19</v>
      </c>
      <c r="E821" s="60" t="str">
        <f>tbl_performance[[#This Row],[employee_id]]&amp;"-"&amp;TEXT(tbl_performance[[#This Row],[month]],"mm")</f>
        <v>EMP1074-08</v>
      </c>
      <c r="F821" s="60">
        <f>COUNTIF(tbl_performance[employee_month_key],tbl_performance[[#This Row],[employee_month_key]])</f>
        <v>1</v>
      </c>
      <c r="G821" s="61">
        <f>tbl_performance[[#This Row],[achieved]]/tbl_performance[[#This Row],[target]]</f>
        <v>0.95</v>
      </c>
      <c r="H821" s="60" t="str" cm="1">
        <f t="array" ref="H8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2" spans="1:8" ht="19.8" x14ac:dyDescent="0.65">
      <c r="A822" s="58" t="s">
        <v>183</v>
      </c>
      <c r="B822" s="59">
        <v>45901</v>
      </c>
      <c r="C822" s="60">
        <v>21</v>
      </c>
      <c r="D822" s="60">
        <v>20</v>
      </c>
      <c r="E822" s="60" t="str">
        <f>tbl_performance[[#This Row],[employee_id]]&amp;"-"&amp;TEXT(tbl_performance[[#This Row],[month]],"mm")</f>
        <v>EMP1074-09</v>
      </c>
      <c r="F822" s="60">
        <f>COUNTIF(tbl_performance[employee_month_key],tbl_performance[[#This Row],[employee_month_key]])</f>
        <v>1</v>
      </c>
      <c r="G822" s="61">
        <f>tbl_performance[[#This Row],[achieved]]/tbl_performance[[#This Row],[target]]</f>
        <v>0.95238095238095233</v>
      </c>
      <c r="H822" s="60" t="str" cm="1">
        <f t="array" ref="H82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3" spans="1:8" ht="19.8" x14ac:dyDescent="0.65">
      <c r="A823" s="58" t="s">
        <v>183</v>
      </c>
      <c r="B823" s="59">
        <v>45931</v>
      </c>
      <c r="C823" s="60">
        <v>21</v>
      </c>
      <c r="D823" s="60">
        <v>20</v>
      </c>
      <c r="E823" s="60" t="str">
        <f>tbl_performance[[#This Row],[employee_id]]&amp;"-"&amp;TEXT(tbl_performance[[#This Row],[month]],"mm")</f>
        <v>EMP1074-10</v>
      </c>
      <c r="F823" s="60">
        <f>COUNTIF(tbl_performance[employee_month_key],tbl_performance[[#This Row],[employee_month_key]])</f>
        <v>1</v>
      </c>
      <c r="G823" s="61">
        <f>tbl_performance[[#This Row],[achieved]]/tbl_performance[[#This Row],[target]]</f>
        <v>0.95238095238095233</v>
      </c>
      <c r="H823" s="60" t="str" cm="1">
        <f t="array" ref="H82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4" spans="1:8" ht="19.8" x14ac:dyDescent="0.65">
      <c r="A824" s="58" t="s">
        <v>183</v>
      </c>
      <c r="B824" s="59">
        <v>45962</v>
      </c>
      <c r="C824" s="60">
        <v>21</v>
      </c>
      <c r="D824" s="60">
        <v>22</v>
      </c>
      <c r="E824" s="60" t="str">
        <f>tbl_performance[[#This Row],[employee_id]]&amp;"-"&amp;TEXT(tbl_performance[[#This Row],[month]],"mm")</f>
        <v>EMP1074-11</v>
      </c>
      <c r="F824" s="60">
        <f>COUNTIF(tbl_performance[employee_month_key],tbl_performance[[#This Row],[employee_month_key]])</f>
        <v>1</v>
      </c>
      <c r="G824" s="61">
        <f>tbl_performance[[#This Row],[achieved]]/tbl_performance[[#This Row],[target]]</f>
        <v>1.0476190476190477</v>
      </c>
      <c r="H824" s="60" t="str" cm="1">
        <f t="array" ref="H824">_xlfn.IFS(tbl_performance[[#This Row],[performance_pct]]&gt;=1.1,"Excellent",tbl_performance[[#This Row],[performance_pct]]&gt;=1,"Good",tbl_performance[[#This Row],[performance_pct]]&gt;=0.85,"Average",TRUE,"Poor")</f>
        <v>Good</v>
      </c>
    </row>
    <row r="825" spans="1:8" ht="19.8" x14ac:dyDescent="0.65">
      <c r="A825" s="58" t="s">
        <v>183</v>
      </c>
      <c r="B825" s="59">
        <v>45992</v>
      </c>
      <c r="C825" s="60">
        <v>18</v>
      </c>
      <c r="D825" s="60">
        <v>18</v>
      </c>
      <c r="E825" s="60" t="str">
        <f>tbl_performance[[#This Row],[employee_id]]&amp;"-"&amp;TEXT(tbl_performance[[#This Row],[month]],"mm")</f>
        <v>EMP1074-12</v>
      </c>
      <c r="F825" s="60">
        <f>COUNTIF(tbl_performance[employee_month_key],tbl_performance[[#This Row],[employee_month_key]])</f>
        <v>1</v>
      </c>
      <c r="G825" s="61">
        <f>tbl_performance[[#This Row],[achieved]]/tbl_performance[[#This Row],[target]]</f>
        <v>1</v>
      </c>
      <c r="H825" s="60" t="str" cm="1">
        <f t="array" ref="H825">_xlfn.IFS(tbl_performance[[#This Row],[performance_pct]]&gt;=1.1,"Excellent",tbl_performance[[#This Row],[performance_pct]]&gt;=1,"Good",tbl_performance[[#This Row],[performance_pct]]&gt;=0.85,"Average",TRUE,"Poor")</f>
        <v>Good</v>
      </c>
    </row>
    <row r="826" spans="1:8" ht="19.8" x14ac:dyDescent="0.65">
      <c r="A826" s="58" t="s">
        <v>185</v>
      </c>
      <c r="B826" s="59">
        <v>45658</v>
      </c>
      <c r="C826" s="60">
        <v>193</v>
      </c>
      <c r="D826" s="60">
        <v>169</v>
      </c>
      <c r="E826" s="60" t="str">
        <f>tbl_performance[[#This Row],[employee_id]]&amp;"-"&amp;TEXT(tbl_performance[[#This Row],[month]],"mm")</f>
        <v>EMP1075-01</v>
      </c>
      <c r="F826" s="60">
        <f>COUNTIF(tbl_performance[employee_month_key],tbl_performance[[#This Row],[employee_month_key]])</f>
        <v>1</v>
      </c>
      <c r="G826" s="61">
        <f>tbl_performance[[#This Row],[achieved]]/tbl_performance[[#This Row],[target]]</f>
        <v>0.87564766839378239</v>
      </c>
      <c r="H826" s="60" t="str" cm="1">
        <f t="array" ref="H8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7" spans="1:8" ht="19.8" x14ac:dyDescent="0.65">
      <c r="A827" s="58" t="s">
        <v>185</v>
      </c>
      <c r="B827" s="59">
        <v>45689</v>
      </c>
      <c r="C827" s="60">
        <v>180</v>
      </c>
      <c r="D827" s="60">
        <v>165</v>
      </c>
      <c r="E827" s="60" t="str">
        <f>tbl_performance[[#This Row],[employee_id]]&amp;"-"&amp;TEXT(tbl_performance[[#This Row],[month]],"mm")</f>
        <v>EMP1075-02</v>
      </c>
      <c r="F827" s="60">
        <f>COUNTIF(tbl_performance[employee_month_key],tbl_performance[[#This Row],[employee_month_key]])</f>
        <v>1</v>
      </c>
      <c r="G827" s="61">
        <f>tbl_performance[[#This Row],[achieved]]/tbl_performance[[#This Row],[target]]</f>
        <v>0.91666666666666663</v>
      </c>
      <c r="H827" s="60" t="str" cm="1">
        <f t="array" ref="H82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8" spans="1:8" ht="19.8" x14ac:dyDescent="0.65">
      <c r="A828" s="58" t="s">
        <v>185</v>
      </c>
      <c r="B828" s="59">
        <v>45717</v>
      </c>
      <c r="C828" s="60">
        <v>197</v>
      </c>
      <c r="D828" s="60">
        <v>176</v>
      </c>
      <c r="E828" s="60" t="str">
        <f>tbl_performance[[#This Row],[employee_id]]&amp;"-"&amp;TEXT(tbl_performance[[#This Row],[month]],"mm")</f>
        <v>EMP1075-03</v>
      </c>
      <c r="F828" s="60">
        <f>COUNTIF(tbl_performance[employee_month_key],tbl_performance[[#This Row],[employee_month_key]])</f>
        <v>1</v>
      </c>
      <c r="G828" s="61">
        <f>tbl_performance[[#This Row],[achieved]]/tbl_performance[[#This Row],[target]]</f>
        <v>0.89340101522842641</v>
      </c>
      <c r="H828" s="60" t="str" cm="1">
        <f t="array" ref="H82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29" spans="1:8" ht="19.8" x14ac:dyDescent="0.65">
      <c r="A829" s="58" t="s">
        <v>185</v>
      </c>
      <c r="B829" s="59">
        <v>45748</v>
      </c>
      <c r="C829" s="60">
        <v>193</v>
      </c>
      <c r="D829" s="60">
        <v>163</v>
      </c>
      <c r="E829" s="60" t="str">
        <f>tbl_performance[[#This Row],[employee_id]]&amp;"-"&amp;TEXT(tbl_performance[[#This Row],[month]],"mm")</f>
        <v>EMP1075-04</v>
      </c>
      <c r="F829" s="60">
        <f>COUNTIF(tbl_performance[employee_month_key],tbl_performance[[#This Row],[employee_month_key]])</f>
        <v>1</v>
      </c>
      <c r="G829" s="61">
        <f>tbl_performance[[#This Row],[achieved]]/tbl_performance[[#This Row],[target]]</f>
        <v>0.84455958549222798</v>
      </c>
      <c r="H829" s="60" t="str" cm="1">
        <f t="array" ref="H829">_xlfn.IFS(tbl_performance[[#This Row],[performance_pct]]&gt;=1.1,"Excellent",tbl_performance[[#This Row],[performance_pct]]&gt;=1,"Good",tbl_performance[[#This Row],[performance_pct]]&gt;=0.85,"Average",TRUE,"Poor")</f>
        <v>Poor</v>
      </c>
    </row>
    <row r="830" spans="1:8" ht="19.8" x14ac:dyDescent="0.65">
      <c r="A830" s="58" t="s">
        <v>185</v>
      </c>
      <c r="B830" s="59">
        <v>45778</v>
      </c>
      <c r="C830" s="60">
        <v>193</v>
      </c>
      <c r="D830" s="60">
        <v>156</v>
      </c>
      <c r="E830" s="60" t="str">
        <f>tbl_performance[[#This Row],[employee_id]]&amp;"-"&amp;TEXT(tbl_performance[[#This Row],[month]],"mm")</f>
        <v>EMP1075-05</v>
      </c>
      <c r="F830" s="60">
        <f>COUNTIF(tbl_performance[employee_month_key],tbl_performance[[#This Row],[employee_month_key]])</f>
        <v>1</v>
      </c>
      <c r="G830" s="61">
        <f>tbl_performance[[#This Row],[achieved]]/tbl_performance[[#This Row],[target]]</f>
        <v>0.80829015544041449</v>
      </c>
      <c r="H830" s="60" t="str" cm="1">
        <f t="array" ref="H830">_xlfn.IFS(tbl_performance[[#This Row],[performance_pct]]&gt;=1.1,"Excellent",tbl_performance[[#This Row],[performance_pct]]&gt;=1,"Good",tbl_performance[[#This Row],[performance_pct]]&gt;=0.85,"Average",TRUE,"Poor")</f>
        <v>Poor</v>
      </c>
    </row>
    <row r="831" spans="1:8" ht="19.8" x14ac:dyDescent="0.65">
      <c r="A831" s="58" t="s">
        <v>185</v>
      </c>
      <c r="B831" s="59">
        <v>45809</v>
      </c>
      <c r="C831" s="60">
        <v>189</v>
      </c>
      <c r="D831" s="60">
        <v>166</v>
      </c>
      <c r="E831" s="60" t="str">
        <f>tbl_performance[[#This Row],[employee_id]]&amp;"-"&amp;TEXT(tbl_performance[[#This Row],[month]],"mm")</f>
        <v>EMP1075-06</v>
      </c>
      <c r="F831" s="60">
        <f>COUNTIF(tbl_performance[employee_month_key],tbl_performance[[#This Row],[employee_month_key]])</f>
        <v>1</v>
      </c>
      <c r="G831" s="61">
        <f>tbl_performance[[#This Row],[achieved]]/tbl_performance[[#This Row],[target]]</f>
        <v>0.87830687830687826</v>
      </c>
      <c r="H831" s="60" t="str" cm="1">
        <f t="array" ref="H83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32" spans="1:8" ht="19.8" x14ac:dyDescent="0.65">
      <c r="A832" s="58" t="s">
        <v>185</v>
      </c>
      <c r="B832" s="59">
        <v>45839</v>
      </c>
      <c r="C832" s="60">
        <v>193</v>
      </c>
      <c r="D832" s="60">
        <v>167</v>
      </c>
      <c r="E832" s="60" t="str">
        <f>tbl_performance[[#This Row],[employee_id]]&amp;"-"&amp;TEXT(tbl_performance[[#This Row],[month]],"mm")</f>
        <v>EMP1075-07</v>
      </c>
      <c r="F832" s="60">
        <f>COUNTIF(tbl_performance[employee_month_key],tbl_performance[[#This Row],[employee_month_key]])</f>
        <v>1</v>
      </c>
      <c r="G832" s="61">
        <f>tbl_performance[[#This Row],[achieved]]/tbl_performance[[#This Row],[target]]</f>
        <v>0.86528497409326421</v>
      </c>
      <c r="H832" s="60" t="str" cm="1">
        <f t="array" ref="H83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33" spans="1:8" ht="19.8" x14ac:dyDescent="0.65">
      <c r="A833" s="58" t="s">
        <v>185</v>
      </c>
      <c r="B833" s="59">
        <v>45870</v>
      </c>
      <c r="C833" s="60">
        <v>187</v>
      </c>
      <c r="D833" s="60">
        <v>139</v>
      </c>
      <c r="E833" s="60" t="str">
        <f>tbl_performance[[#This Row],[employee_id]]&amp;"-"&amp;TEXT(tbl_performance[[#This Row],[month]],"mm")</f>
        <v>EMP1075-08</v>
      </c>
      <c r="F833" s="60">
        <f>COUNTIF(tbl_performance[employee_month_key],tbl_performance[[#This Row],[employee_month_key]])</f>
        <v>1</v>
      </c>
      <c r="G833" s="61">
        <f>tbl_performance[[#This Row],[achieved]]/tbl_performance[[#This Row],[target]]</f>
        <v>0.74331550802139035</v>
      </c>
      <c r="H833" s="60" t="str" cm="1">
        <f t="array" ref="H833">_xlfn.IFS(tbl_performance[[#This Row],[performance_pct]]&gt;=1.1,"Excellent",tbl_performance[[#This Row],[performance_pct]]&gt;=1,"Good",tbl_performance[[#This Row],[performance_pct]]&gt;=0.85,"Average",TRUE,"Poor")</f>
        <v>Poor</v>
      </c>
    </row>
    <row r="834" spans="1:8" ht="19.8" x14ac:dyDescent="0.65">
      <c r="A834" s="58" t="s">
        <v>185</v>
      </c>
      <c r="B834" s="59">
        <v>45901</v>
      </c>
      <c r="C834" s="60">
        <v>193</v>
      </c>
      <c r="D834" s="60">
        <v>160</v>
      </c>
      <c r="E834" s="60" t="str">
        <f>tbl_performance[[#This Row],[employee_id]]&amp;"-"&amp;TEXT(tbl_performance[[#This Row],[month]],"mm")</f>
        <v>EMP1075-09</v>
      </c>
      <c r="F834" s="60">
        <f>COUNTIF(tbl_performance[employee_month_key],tbl_performance[[#This Row],[employee_month_key]])</f>
        <v>1</v>
      </c>
      <c r="G834" s="61">
        <f>tbl_performance[[#This Row],[achieved]]/tbl_performance[[#This Row],[target]]</f>
        <v>0.82901554404145072</v>
      </c>
      <c r="H834" s="60" t="str" cm="1">
        <f t="array" ref="H834">_xlfn.IFS(tbl_performance[[#This Row],[performance_pct]]&gt;=1.1,"Excellent",tbl_performance[[#This Row],[performance_pct]]&gt;=1,"Good",tbl_performance[[#This Row],[performance_pct]]&gt;=0.85,"Average",TRUE,"Poor")</f>
        <v>Poor</v>
      </c>
    </row>
    <row r="835" spans="1:8" ht="19.8" x14ac:dyDescent="0.65">
      <c r="A835" s="58" t="s">
        <v>185</v>
      </c>
      <c r="B835" s="59">
        <v>45931</v>
      </c>
      <c r="C835" s="60">
        <v>197</v>
      </c>
      <c r="D835" s="60">
        <v>177</v>
      </c>
      <c r="E835" s="60" t="str">
        <f>tbl_performance[[#This Row],[employee_id]]&amp;"-"&amp;TEXT(tbl_performance[[#This Row],[month]],"mm")</f>
        <v>EMP1075-10</v>
      </c>
      <c r="F835" s="60">
        <f>COUNTIF(tbl_performance[employee_month_key],tbl_performance[[#This Row],[employee_month_key]])</f>
        <v>1</v>
      </c>
      <c r="G835" s="61">
        <f>tbl_performance[[#This Row],[achieved]]/tbl_performance[[#This Row],[target]]</f>
        <v>0.89847715736040612</v>
      </c>
      <c r="H835" s="60" t="str" cm="1">
        <f t="array" ref="H83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36" spans="1:8" ht="19.8" x14ac:dyDescent="0.65">
      <c r="A836" s="58" t="s">
        <v>185</v>
      </c>
      <c r="B836" s="59">
        <v>45962</v>
      </c>
      <c r="C836" s="60">
        <v>193</v>
      </c>
      <c r="D836" s="60">
        <v>157</v>
      </c>
      <c r="E836" s="60" t="str">
        <f>tbl_performance[[#This Row],[employee_id]]&amp;"-"&amp;TEXT(tbl_performance[[#This Row],[month]],"mm")</f>
        <v>EMP1075-11</v>
      </c>
      <c r="F836" s="60">
        <f>COUNTIF(tbl_performance[employee_month_key],tbl_performance[[#This Row],[employee_month_key]])</f>
        <v>1</v>
      </c>
      <c r="G836" s="61">
        <f>tbl_performance[[#This Row],[achieved]]/tbl_performance[[#This Row],[target]]</f>
        <v>0.81347150259067358</v>
      </c>
      <c r="H836" s="60" t="str" cm="1">
        <f t="array" ref="H836">_xlfn.IFS(tbl_performance[[#This Row],[performance_pct]]&gt;=1.1,"Excellent",tbl_performance[[#This Row],[performance_pct]]&gt;=1,"Good",tbl_performance[[#This Row],[performance_pct]]&gt;=0.85,"Average",TRUE,"Poor")</f>
        <v>Poor</v>
      </c>
    </row>
    <row r="837" spans="1:8" ht="19.8" x14ac:dyDescent="0.65">
      <c r="A837" s="58" t="s">
        <v>185</v>
      </c>
      <c r="B837" s="59">
        <v>45992</v>
      </c>
      <c r="C837" s="60">
        <v>164</v>
      </c>
      <c r="D837" s="60">
        <v>139</v>
      </c>
      <c r="E837" s="60" t="str">
        <f>tbl_performance[[#This Row],[employee_id]]&amp;"-"&amp;TEXT(tbl_performance[[#This Row],[month]],"mm")</f>
        <v>EMP1075-12</v>
      </c>
      <c r="F837" s="60">
        <f>COUNTIF(tbl_performance[employee_month_key],tbl_performance[[#This Row],[employee_month_key]])</f>
        <v>1</v>
      </c>
      <c r="G837" s="61">
        <f>tbl_performance[[#This Row],[achieved]]/tbl_performance[[#This Row],[target]]</f>
        <v>0.84756097560975607</v>
      </c>
      <c r="H837" s="60" t="str" cm="1">
        <f t="array" ref="H837">_xlfn.IFS(tbl_performance[[#This Row],[performance_pct]]&gt;=1.1,"Excellent",tbl_performance[[#This Row],[performance_pct]]&gt;=1,"Good",tbl_performance[[#This Row],[performance_pct]]&gt;=0.85,"Average",TRUE,"Poor")</f>
        <v>Poor</v>
      </c>
    </row>
    <row r="838" spans="1:8" ht="19.8" x14ac:dyDescent="0.65">
      <c r="A838" s="58" t="s">
        <v>187</v>
      </c>
      <c r="B838" s="59">
        <v>45658</v>
      </c>
      <c r="C838" s="60">
        <v>37</v>
      </c>
      <c r="D838" s="60">
        <v>41</v>
      </c>
      <c r="E838" s="60" t="str">
        <f>tbl_performance[[#This Row],[employee_id]]&amp;"-"&amp;TEXT(tbl_performance[[#This Row],[month]],"mm")</f>
        <v>EMP1076-01</v>
      </c>
      <c r="F838" s="60">
        <f>COUNTIF(tbl_performance[employee_month_key],tbl_performance[[#This Row],[employee_month_key]])</f>
        <v>1</v>
      </c>
      <c r="G838" s="61">
        <f>tbl_performance[[#This Row],[achieved]]/tbl_performance[[#This Row],[target]]</f>
        <v>1.1081081081081081</v>
      </c>
      <c r="H838" s="60" t="str" cm="1">
        <f t="array" ref="H8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839" spans="1:8" ht="19.8" x14ac:dyDescent="0.65">
      <c r="A839" s="58" t="s">
        <v>187</v>
      </c>
      <c r="B839" s="59">
        <v>45689</v>
      </c>
      <c r="C839" s="60">
        <v>34</v>
      </c>
      <c r="D839" s="60">
        <v>35</v>
      </c>
      <c r="E839" s="60" t="str">
        <f>tbl_performance[[#This Row],[employee_id]]&amp;"-"&amp;TEXT(tbl_performance[[#This Row],[month]],"mm")</f>
        <v>EMP1076-02</v>
      </c>
      <c r="F839" s="60">
        <f>COUNTIF(tbl_performance[employee_month_key],tbl_performance[[#This Row],[employee_month_key]])</f>
        <v>1</v>
      </c>
      <c r="G839" s="61">
        <f>tbl_performance[[#This Row],[achieved]]/tbl_performance[[#This Row],[target]]</f>
        <v>1.0294117647058822</v>
      </c>
      <c r="H839" s="60" t="str" cm="1">
        <f t="array" ref="H839">_xlfn.IFS(tbl_performance[[#This Row],[performance_pct]]&gt;=1.1,"Excellent",tbl_performance[[#This Row],[performance_pct]]&gt;=1,"Good",tbl_performance[[#This Row],[performance_pct]]&gt;=0.85,"Average",TRUE,"Poor")</f>
        <v>Good</v>
      </c>
    </row>
    <row r="840" spans="1:8" ht="19.8" x14ac:dyDescent="0.65">
      <c r="A840" s="58" t="s">
        <v>187</v>
      </c>
      <c r="B840" s="59">
        <v>45717</v>
      </c>
      <c r="C840" s="60">
        <v>37</v>
      </c>
      <c r="D840" s="60">
        <v>41</v>
      </c>
      <c r="E840" s="60" t="str">
        <f>tbl_performance[[#This Row],[employee_id]]&amp;"-"&amp;TEXT(tbl_performance[[#This Row],[month]],"mm")</f>
        <v>EMP1076-03</v>
      </c>
      <c r="F840" s="60">
        <f>COUNTIF(tbl_performance[employee_month_key],tbl_performance[[#This Row],[employee_month_key]])</f>
        <v>1</v>
      </c>
      <c r="G840" s="61">
        <f>tbl_performance[[#This Row],[achieved]]/tbl_performance[[#This Row],[target]]</f>
        <v>1.1081081081081081</v>
      </c>
      <c r="H840" s="60" t="str" cm="1">
        <f t="array" ref="H84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841" spans="1:8" ht="19.8" x14ac:dyDescent="0.65">
      <c r="A841" s="58" t="s">
        <v>187</v>
      </c>
      <c r="B841" s="59">
        <v>45748</v>
      </c>
      <c r="C841" s="60">
        <v>37</v>
      </c>
      <c r="D841" s="60">
        <v>39</v>
      </c>
      <c r="E841" s="60" t="str">
        <f>tbl_performance[[#This Row],[employee_id]]&amp;"-"&amp;TEXT(tbl_performance[[#This Row],[month]],"mm")</f>
        <v>EMP1076-04</v>
      </c>
      <c r="F841" s="60">
        <f>COUNTIF(tbl_performance[employee_month_key],tbl_performance[[#This Row],[employee_month_key]])</f>
        <v>1</v>
      </c>
      <c r="G841" s="61">
        <f>tbl_performance[[#This Row],[achieved]]/tbl_performance[[#This Row],[target]]</f>
        <v>1.0540540540540539</v>
      </c>
      <c r="H841" s="60" t="str" cm="1">
        <f t="array" ref="H841">_xlfn.IFS(tbl_performance[[#This Row],[performance_pct]]&gt;=1.1,"Excellent",tbl_performance[[#This Row],[performance_pct]]&gt;=1,"Good",tbl_performance[[#This Row],[performance_pct]]&gt;=0.85,"Average",TRUE,"Poor")</f>
        <v>Good</v>
      </c>
    </row>
    <row r="842" spans="1:8" ht="19.8" x14ac:dyDescent="0.65">
      <c r="A842" s="58" t="s">
        <v>187</v>
      </c>
      <c r="B842" s="59">
        <v>45778</v>
      </c>
      <c r="C842" s="60">
        <v>37</v>
      </c>
      <c r="D842" s="60">
        <v>38</v>
      </c>
      <c r="E842" s="60" t="str">
        <f>tbl_performance[[#This Row],[employee_id]]&amp;"-"&amp;TEXT(tbl_performance[[#This Row],[month]],"mm")</f>
        <v>EMP1076-05</v>
      </c>
      <c r="F842" s="60">
        <f>COUNTIF(tbl_performance[employee_month_key],tbl_performance[[#This Row],[employee_month_key]])</f>
        <v>1</v>
      </c>
      <c r="G842" s="61">
        <f>tbl_performance[[#This Row],[achieved]]/tbl_performance[[#This Row],[target]]</f>
        <v>1.027027027027027</v>
      </c>
      <c r="H842" s="60" t="str" cm="1">
        <f t="array" ref="H842">_xlfn.IFS(tbl_performance[[#This Row],[performance_pct]]&gt;=1.1,"Excellent",tbl_performance[[#This Row],[performance_pct]]&gt;=1,"Good",tbl_performance[[#This Row],[performance_pct]]&gt;=0.85,"Average",TRUE,"Poor")</f>
        <v>Good</v>
      </c>
    </row>
    <row r="843" spans="1:8" ht="19.8" x14ac:dyDescent="0.65">
      <c r="A843" s="58" t="s">
        <v>187</v>
      </c>
      <c r="B843" s="59">
        <v>45809</v>
      </c>
      <c r="C843" s="60">
        <v>36</v>
      </c>
      <c r="D843" s="60">
        <v>37</v>
      </c>
      <c r="E843" s="60" t="str">
        <f>tbl_performance[[#This Row],[employee_id]]&amp;"-"&amp;TEXT(tbl_performance[[#This Row],[month]],"mm")</f>
        <v>EMP1076-06</v>
      </c>
      <c r="F843" s="60">
        <f>COUNTIF(tbl_performance[employee_month_key],tbl_performance[[#This Row],[employee_month_key]])</f>
        <v>1</v>
      </c>
      <c r="G843" s="61">
        <f>tbl_performance[[#This Row],[achieved]]/tbl_performance[[#This Row],[target]]</f>
        <v>1.0277777777777777</v>
      </c>
      <c r="H843" s="60" t="str" cm="1">
        <f t="array" ref="H843">_xlfn.IFS(tbl_performance[[#This Row],[performance_pct]]&gt;=1.1,"Excellent",tbl_performance[[#This Row],[performance_pct]]&gt;=1,"Good",tbl_performance[[#This Row],[performance_pct]]&gt;=0.85,"Average",TRUE,"Poor")</f>
        <v>Good</v>
      </c>
    </row>
    <row r="844" spans="1:8" ht="19.8" x14ac:dyDescent="0.65">
      <c r="A844" s="58" t="s">
        <v>187</v>
      </c>
      <c r="B844" s="59">
        <v>45839</v>
      </c>
      <c r="C844" s="60">
        <v>37</v>
      </c>
      <c r="D844" s="60">
        <v>38</v>
      </c>
      <c r="E844" s="60" t="str">
        <f>tbl_performance[[#This Row],[employee_id]]&amp;"-"&amp;TEXT(tbl_performance[[#This Row],[month]],"mm")</f>
        <v>EMP1076-07</v>
      </c>
      <c r="F844" s="60">
        <f>COUNTIF(tbl_performance[employee_month_key],tbl_performance[[#This Row],[employee_month_key]])</f>
        <v>1</v>
      </c>
      <c r="G844" s="61">
        <f>tbl_performance[[#This Row],[achieved]]/tbl_performance[[#This Row],[target]]</f>
        <v>1.027027027027027</v>
      </c>
      <c r="H844" s="60" t="str" cm="1">
        <f t="array" ref="H844">_xlfn.IFS(tbl_performance[[#This Row],[performance_pct]]&gt;=1.1,"Excellent",tbl_performance[[#This Row],[performance_pct]]&gt;=1,"Good",tbl_performance[[#This Row],[performance_pct]]&gt;=0.85,"Average",TRUE,"Poor")</f>
        <v>Good</v>
      </c>
    </row>
    <row r="845" spans="1:8" ht="19.8" x14ac:dyDescent="0.65">
      <c r="A845" s="58" t="s">
        <v>187</v>
      </c>
      <c r="B845" s="59">
        <v>45870</v>
      </c>
      <c r="C845" s="60">
        <v>36</v>
      </c>
      <c r="D845" s="60">
        <v>37</v>
      </c>
      <c r="E845" s="60" t="str">
        <f>tbl_performance[[#This Row],[employee_id]]&amp;"-"&amp;TEXT(tbl_performance[[#This Row],[month]],"mm")</f>
        <v>EMP1076-08</v>
      </c>
      <c r="F845" s="60">
        <f>COUNTIF(tbl_performance[employee_month_key],tbl_performance[[#This Row],[employee_month_key]])</f>
        <v>1</v>
      </c>
      <c r="G845" s="61">
        <f>tbl_performance[[#This Row],[achieved]]/tbl_performance[[#This Row],[target]]</f>
        <v>1.0277777777777777</v>
      </c>
      <c r="H845" s="60" t="str" cm="1">
        <f t="array" ref="H845">_xlfn.IFS(tbl_performance[[#This Row],[performance_pct]]&gt;=1.1,"Excellent",tbl_performance[[#This Row],[performance_pct]]&gt;=1,"Good",tbl_performance[[#This Row],[performance_pct]]&gt;=0.85,"Average",TRUE,"Poor")</f>
        <v>Good</v>
      </c>
    </row>
    <row r="846" spans="1:8" ht="19.8" x14ac:dyDescent="0.65">
      <c r="A846" s="58" t="s">
        <v>187</v>
      </c>
      <c r="B846" s="59">
        <v>45901</v>
      </c>
      <c r="C846" s="60">
        <v>37</v>
      </c>
      <c r="D846" s="60">
        <v>40</v>
      </c>
      <c r="E846" s="60" t="str">
        <f>tbl_performance[[#This Row],[employee_id]]&amp;"-"&amp;TEXT(tbl_performance[[#This Row],[month]],"mm")</f>
        <v>EMP1076-09</v>
      </c>
      <c r="F846" s="60">
        <f>COUNTIF(tbl_performance[employee_month_key],tbl_performance[[#This Row],[employee_month_key]])</f>
        <v>1</v>
      </c>
      <c r="G846" s="61">
        <f>tbl_performance[[#This Row],[achieved]]/tbl_performance[[#This Row],[target]]</f>
        <v>1.0810810810810811</v>
      </c>
      <c r="H846" s="60" t="str" cm="1">
        <f t="array" ref="H846">_xlfn.IFS(tbl_performance[[#This Row],[performance_pct]]&gt;=1.1,"Excellent",tbl_performance[[#This Row],[performance_pct]]&gt;=1,"Good",tbl_performance[[#This Row],[performance_pct]]&gt;=0.85,"Average",TRUE,"Poor")</f>
        <v>Good</v>
      </c>
    </row>
    <row r="847" spans="1:8" ht="19.8" x14ac:dyDescent="0.65">
      <c r="A847" s="58" t="s">
        <v>187</v>
      </c>
      <c r="B847" s="59">
        <v>45931</v>
      </c>
      <c r="C847" s="60">
        <v>37</v>
      </c>
      <c r="D847" s="60">
        <v>38</v>
      </c>
      <c r="E847" s="60" t="str">
        <f>tbl_performance[[#This Row],[employee_id]]&amp;"-"&amp;TEXT(tbl_performance[[#This Row],[month]],"mm")</f>
        <v>EMP1076-10</v>
      </c>
      <c r="F847" s="60">
        <f>COUNTIF(tbl_performance[employee_month_key],tbl_performance[[#This Row],[employee_month_key]])</f>
        <v>1</v>
      </c>
      <c r="G847" s="61">
        <f>tbl_performance[[#This Row],[achieved]]/tbl_performance[[#This Row],[target]]</f>
        <v>1.027027027027027</v>
      </c>
      <c r="H847" s="60" t="str" cm="1">
        <f t="array" ref="H847">_xlfn.IFS(tbl_performance[[#This Row],[performance_pct]]&gt;=1.1,"Excellent",tbl_performance[[#This Row],[performance_pct]]&gt;=1,"Good",tbl_performance[[#This Row],[performance_pct]]&gt;=0.85,"Average",TRUE,"Poor")</f>
        <v>Good</v>
      </c>
    </row>
    <row r="848" spans="1:8" ht="19.8" x14ac:dyDescent="0.65">
      <c r="A848" s="58" t="s">
        <v>187</v>
      </c>
      <c r="B848" s="59">
        <v>45962</v>
      </c>
      <c r="C848" s="60">
        <v>37</v>
      </c>
      <c r="D848" s="60">
        <v>39</v>
      </c>
      <c r="E848" s="60" t="str">
        <f>tbl_performance[[#This Row],[employee_id]]&amp;"-"&amp;TEXT(tbl_performance[[#This Row],[month]],"mm")</f>
        <v>EMP1076-11</v>
      </c>
      <c r="F848" s="60">
        <f>COUNTIF(tbl_performance[employee_month_key],tbl_performance[[#This Row],[employee_month_key]])</f>
        <v>1</v>
      </c>
      <c r="G848" s="61">
        <f>tbl_performance[[#This Row],[achieved]]/tbl_performance[[#This Row],[target]]</f>
        <v>1.0540540540540539</v>
      </c>
      <c r="H848" s="60" t="str" cm="1">
        <f t="array" ref="H848">_xlfn.IFS(tbl_performance[[#This Row],[performance_pct]]&gt;=1.1,"Excellent",tbl_performance[[#This Row],[performance_pct]]&gt;=1,"Good",tbl_performance[[#This Row],[performance_pct]]&gt;=0.85,"Average",TRUE,"Poor")</f>
        <v>Good</v>
      </c>
    </row>
    <row r="849" spans="1:8" ht="19.8" x14ac:dyDescent="0.65">
      <c r="A849" s="58" t="s">
        <v>187</v>
      </c>
      <c r="B849" s="59">
        <v>45992</v>
      </c>
      <c r="C849" s="60">
        <v>31</v>
      </c>
      <c r="D849" s="60">
        <v>34</v>
      </c>
      <c r="E849" s="60" t="str">
        <f>tbl_performance[[#This Row],[employee_id]]&amp;"-"&amp;TEXT(tbl_performance[[#This Row],[month]],"mm")</f>
        <v>EMP1076-12</v>
      </c>
      <c r="F849" s="60">
        <f>COUNTIF(tbl_performance[employee_month_key],tbl_performance[[#This Row],[employee_month_key]])</f>
        <v>1</v>
      </c>
      <c r="G849" s="61">
        <f>tbl_performance[[#This Row],[achieved]]/tbl_performance[[#This Row],[target]]</f>
        <v>1.096774193548387</v>
      </c>
      <c r="H849" s="60" t="str" cm="1">
        <f t="array" ref="H849">_xlfn.IFS(tbl_performance[[#This Row],[performance_pct]]&gt;=1.1,"Excellent",tbl_performance[[#This Row],[performance_pct]]&gt;=1,"Good",tbl_performance[[#This Row],[performance_pct]]&gt;=0.85,"Average",TRUE,"Poor")</f>
        <v>Good</v>
      </c>
    </row>
    <row r="850" spans="1:8" ht="19.8" x14ac:dyDescent="0.65">
      <c r="A850" s="58" t="s">
        <v>189</v>
      </c>
      <c r="B850" s="59">
        <v>45658</v>
      </c>
      <c r="C850" s="60">
        <v>299</v>
      </c>
      <c r="D850" s="60">
        <v>308</v>
      </c>
      <c r="E850" s="60" t="str">
        <f>tbl_performance[[#This Row],[employee_id]]&amp;"-"&amp;TEXT(tbl_performance[[#This Row],[month]],"mm")</f>
        <v>EMP1077-01</v>
      </c>
      <c r="F850" s="60">
        <f>COUNTIF(tbl_performance[employee_month_key],tbl_performance[[#This Row],[employee_month_key]])</f>
        <v>1</v>
      </c>
      <c r="G850" s="61">
        <f>tbl_performance[[#This Row],[achieved]]/tbl_performance[[#This Row],[target]]</f>
        <v>1.0301003344481605</v>
      </c>
      <c r="H850" s="60" t="str" cm="1">
        <f t="array" ref="H850">_xlfn.IFS(tbl_performance[[#This Row],[performance_pct]]&gt;=1.1,"Excellent",tbl_performance[[#This Row],[performance_pct]]&gt;=1,"Good",tbl_performance[[#This Row],[performance_pct]]&gt;=0.85,"Average",TRUE,"Poor")</f>
        <v>Good</v>
      </c>
    </row>
    <row r="851" spans="1:8" ht="19.8" x14ac:dyDescent="0.65">
      <c r="A851" s="58" t="s">
        <v>189</v>
      </c>
      <c r="B851" s="59">
        <v>45689</v>
      </c>
      <c r="C851" s="60">
        <v>278</v>
      </c>
      <c r="D851" s="60">
        <v>280</v>
      </c>
      <c r="E851" s="60" t="str">
        <f>tbl_performance[[#This Row],[employee_id]]&amp;"-"&amp;TEXT(tbl_performance[[#This Row],[month]],"mm")</f>
        <v>EMP1077-02</v>
      </c>
      <c r="F851" s="60">
        <f>COUNTIF(tbl_performance[employee_month_key],tbl_performance[[#This Row],[employee_month_key]])</f>
        <v>1</v>
      </c>
      <c r="G851" s="61">
        <f>tbl_performance[[#This Row],[achieved]]/tbl_performance[[#This Row],[target]]</f>
        <v>1.0071942446043165</v>
      </c>
      <c r="H851" s="60" t="str" cm="1">
        <f t="array" ref="H851">_xlfn.IFS(tbl_performance[[#This Row],[performance_pct]]&gt;=1.1,"Excellent",tbl_performance[[#This Row],[performance_pct]]&gt;=1,"Good",tbl_performance[[#This Row],[performance_pct]]&gt;=0.85,"Average",TRUE,"Poor")</f>
        <v>Good</v>
      </c>
    </row>
    <row r="852" spans="1:8" ht="19.8" x14ac:dyDescent="0.65">
      <c r="A852" s="58" t="s">
        <v>189</v>
      </c>
      <c r="B852" s="59">
        <v>45717</v>
      </c>
      <c r="C852" s="60">
        <v>305</v>
      </c>
      <c r="D852" s="60">
        <v>309</v>
      </c>
      <c r="E852" s="60" t="str">
        <f>tbl_performance[[#This Row],[employee_id]]&amp;"-"&amp;TEXT(tbl_performance[[#This Row],[month]],"mm")</f>
        <v>EMP1077-03</v>
      </c>
      <c r="F852" s="60">
        <f>COUNTIF(tbl_performance[employee_month_key],tbl_performance[[#This Row],[employee_month_key]])</f>
        <v>1</v>
      </c>
      <c r="G852" s="61">
        <f>tbl_performance[[#This Row],[achieved]]/tbl_performance[[#This Row],[target]]</f>
        <v>1.0131147540983607</v>
      </c>
      <c r="H852" s="60" t="str" cm="1">
        <f t="array" ref="H852">_xlfn.IFS(tbl_performance[[#This Row],[performance_pct]]&gt;=1.1,"Excellent",tbl_performance[[#This Row],[performance_pct]]&gt;=1,"Good",tbl_performance[[#This Row],[performance_pct]]&gt;=0.85,"Average",TRUE,"Poor")</f>
        <v>Good</v>
      </c>
    </row>
    <row r="853" spans="1:8" ht="19.8" x14ac:dyDescent="0.65">
      <c r="A853" s="58" t="s">
        <v>189</v>
      </c>
      <c r="B853" s="59">
        <v>45748</v>
      </c>
      <c r="C853" s="60">
        <v>299</v>
      </c>
      <c r="D853" s="60">
        <v>312</v>
      </c>
      <c r="E853" s="60" t="str">
        <f>tbl_performance[[#This Row],[employee_id]]&amp;"-"&amp;TEXT(tbl_performance[[#This Row],[month]],"mm")</f>
        <v>EMP1077-04</v>
      </c>
      <c r="F853" s="60">
        <f>COUNTIF(tbl_performance[employee_month_key],tbl_performance[[#This Row],[employee_month_key]])</f>
        <v>1</v>
      </c>
      <c r="G853" s="61">
        <f>tbl_performance[[#This Row],[achieved]]/tbl_performance[[#This Row],[target]]</f>
        <v>1.0434782608695652</v>
      </c>
      <c r="H853" s="60" t="str" cm="1">
        <f t="array" ref="H853">_xlfn.IFS(tbl_performance[[#This Row],[performance_pct]]&gt;=1.1,"Excellent",tbl_performance[[#This Row],[performance_pct]]&gt;=1,"Good",tbl_performance[[#This Row],[performance_pct]]&gt;=0.85,"Average",TRUE,"Poor")</f>
        <v>Good</v>
      </c>
    </row>
    <row r="854" spans="1:8" ht="19.8" x14ac:dyDescent="0.65">
      <c r="A854" s="58" t="s">
        <v>189</v>
      </c>
      <c r="B854" s="59">
        <v>45778</v>
      </c>
      <c r="C854" s="60">
        <v>299</v>
      </c>
      <c r="D854" s="60">
        <v>283</v>
      </c>
      <c r="E854" s="60" t="str">
        <f>tbl_performance[[#This Row],[employee_id]]&amp;"-"&amp;TEXT(tbl_performance[[#This Row],[month]],"mm")</f>
        <v>EMP1077-05</v>
      </c>
      <c r="F854" s="60">
        <f>COUNTIF(tbl_performance[employee_month_key],tbl_performance[[#This Row],[employee_month_key]])</f>
        <v>1</v>
      </c>
      <c r="G854" s="61">
        <f>tbl_performance[[#This Row],[achieved]]/tbl_performance[[#This Row],[target]]</f>
        <v>0.94648829431438131</v>
      </c>
      <c r="H854" s="60" t="str" cm="1">
        <f t="array" ref="H85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55" spans="1:8" ht="19.8" x14ac:dyDescent="0.65">
      <c r="A855" s="58" t="s">
        <v>189</v>
      </c>
      <c r="B855" s="59">
        <v>45809</v>
      </c>
      <c r="C855" s="60">
        <v>293</v>
      </c>
      <c r="D855" s="60">
        <v>291</v>
      </c>
      <c r="E855" s="60" t="str">
        <f>tbl_performance[[#This Row],[employee_id]]&amp;"-"&amp;TEXT(tbl_performance[[#This Row],[month]],"mm")</f>
        <v>EMP1077-06</v>
      </c>
      <c r="F855" s="60">
        <f>COUNTIF(tbl_performance[employee_month_key],tbl_performance[[#This Row],[employee_month_key]])</f>
        <v>1</v>
      </c>
      <c r="G855" s="61">
        <f>tbl_performance[[#This Row],[achieved]]/tbl_performance[[#This Row],[target]]</f>
        <v>0.99317406143344711</v>
      </c>
      <c r="H855" s="60" t="str" cm="1">
        <f t="array" ref="H8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56" spans="1:8" ht="19.8" x14ac:dyDescent="0.65">
      <c r="A856" s="58" t="s">
        <v>189</v>
      </c>
      <c r="B856" s="59">
        <v>45839</v>
      </c>
      <c r="C856" s="60">
        <v>299</v>
      </c>
      <c r="D856" s="60">
        <v>242</v>
      </c>
      <c r="E856" s="60" t="str">
        <f>tbl_performance[[#This Row],[employee_id]]&amp;"-"&amp;TEXT(tbl_performance[[#This Row],[month]],"mm")</f>
        <v>EMP1077-07</v>
      </c>
      <c r="F856" s="60">
        <f>COUNTIF(tbl_performance[employee_month_key],tbl_performance[[#This Row],[employee_month_key]])</f>
        <v>1</v>
      </c>
      <c r="G856" s="61">
        <f>tbl_performance[[#This Row],[achieved]]/tbl_performance[[#This Row],[target]]</f>
        <v>0.80936454849498329</v>
      </c>
      <c r="H856" s="60" t="str" cm="1">
        <f t="array" ref="H856">_xlfn.IFS(tbl_performance[[#This Row],[performance_pct]]&gt;=1.1,"Excellent",tbl_performance[[#This Row],[performance_pct]]&gt;=1,"Good",tbl_performance[[#This Row],[performance_pct]]&gt;=0.85,"Average",TRUE,"Poor")</f>
        <v>Poor</v>
      </c>
    </row>
    <row r="857" spans="1:8" ht="19.8" x14ac:dyDescent="0.65">
      <c r="A857" s="58" t="s">
        <v>189</v>
      </c>
      <c r="B857" s="59">
        <v>45870</v>
      </c>
      <c r="C857" s="60">
        <v>290</v>
      </c>
      <c r="D857" s="60">
        <v>277</v>
      </c>
      <c r="E857" s="60" t="str">
        <f>tbl_performance[[#This Row],[employee_id]]&amp;"-"&amp;TEXT(tbl_performance[[#This Row],[month]],"mm")</f>
        <v>EMP1077-08</v>
      </c>
      <c r="F857" s="60">
        <f>COUNTIF(tbl_performance[employee_month_key],tbl_performance[[#This Row],[employee_month_key]])</f>
        <v>1</v>
      </c>
      <c r="G857" s="61">
        <f>tbl_performance[[#This Row],[achieved]]/tbl_performance[[#This Row],[target]]</f>
        <v>0.95517241379310347</v>
      </c>
      <c r="H857" s="60" t="str" cm="1">
        <f t="array" ref="H85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58" spans="1:8" ht="19.8" x14ac:dyDescent="0.65">
      <c r="A858" s="58" t="s">
        <v>189</v>
      </c>
      <c r="B858" s="59">
        <v>45901</v>
      </c>
      <c r="C858" s="60">
        <v>299</v>
      </c>
      <c r="D858" s="60">
        <v>314</v>
      </c>
      <c r="E858" s="60" t="str">
        <f>tbl_performance[[#This Row],[employee_id]]&amp;"-"&amp;TEXT(tbl_performance[[#This Row],[month]],"mm")</f>
        <v>EMP1077-09</v>
      </c>
      <c r="F858" s="60">
        <f>COUNTIF(tbl_performance[employee_month_key],tbl_performance[[#This Row],[employee_month_key]])</f>
        <v>1</v>
      </c>
      <c r="G858" s="61">
        <f>tbl_performance[[#This Row],[achieved]]/tbl_performance[[#This Row],[target]]</f>
        <v>1.0501672240802675</v>
      </c>
      <c r="H858" s="60" t="str" cm="1">
        <f t="array" ref="H858">_xlfn.IFS(tbl_performance[[#This Row],[performance_pct]]&gt;=1.1,"Excellent",tbl_performance[[#This Row],[performance_pct]]&gt;=1,"Good",tbl_performance[[#This Row],[performance_pct]]&gt;=0.85,"Average",TRUE,"Poor")</f>
        <v>Good</v>
      </c>
    </row>
    <row r="859" spans="1:8" ht="19.8" x14ac:dyDescent="0.65">
      <c r="A859" s="58" t="s">
        <v>189</v>
      </c>
      <c r="B859" s="59">
        <v>45931</v>
      </c>
      <c r="C859" s="60">
        <v>305</v>
      </c>
      <c r="D859" s="60">
        <v>300</v>
      </c>
      <c r="E859" s="60" t="str">
        <f>tbl_performance[[#This Row],[employee_id]]&amp;"-"&amp;TEXT(tbl_performance[[#This Row],[month]],"mm")</f>
        <v>EMP1077-10</v>
      </c>
      <c r="F859" s="60">
        <f>COUNTIF(tbl_performance[employee_month_key],tbl_performance[[#This Row],[employee_month_key]])</f>
        <v>1</v>
      </c>
      <c r="G859" s="61">
        <f>tbl_performance[[#This Row],[achieved]]/tbl_performance[[#This Row],[target]]</f>
        <v>0.98360655737704916</v>
      </c>
      <c r="H859" s="60" t="str" cm="1">
        <f t="array" ref="H85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60" spans="1:8" ht="19.8" x14ac:dyDescent="0.65">
      <c r="A860" s="58" t="s">
        <v>189</v>
      </c>
      <c r="B860" s="59">
        <v>45962</v>
      </c>
      <c r="C860" s="60">
        <v>299</v>
      </c>
      <c r="D860" s="60">
        <v>347</v>
      </c>
      <c r="E860" s="60" t="str">
        <f>tbl_performance[[#This Row],[employee_id]]&amp;"-"&amp;TEXT(tbl_performance[[#This Row],[month]],"mm")</f>
        <v>EMP1077-11</v>
      </c>
      <c r="F860" s="60">
        <f>COUNTIF(tbl_performance[employee_month_key],tbl_performance[[#This Row],[employee_month_key]])</f>
        <v>1</v>
      </c>
      <c r="G860" s="61">
        <f>tbl_performance[[#This Row],[achieved]]/tbl_performance[[#This Row],[target]]</f>
        <v>1.1605351170568561</v>
      </c>
      <c r="H860" s="60" t="str" cm="1">
        <f t="array" ref="H86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861" spans="1:8" ht="19.8" x14ac:dyDescent="0.65">
      <c r="A861" s="58" t="s">
        <v>189</v>
      </c>
      <c r="B861" s="59">
        <v>45992</v>
      </c>
      <c r="C861" s="60">
        <v>255</v>
      </c>
      <c r="D861" s="60">
        <v>250</v>
      </c>
      <c r="E861" s="60" t="str">
        <f>tbl_performance[[#This Row],[employee_id]]&amp;"-"&amp;TEXT(tbl_performance[[#This Row],[month]],"mm")</f>
        <v>EMP1077-12</v>
      </c>
      <c r="F861" s="60">
        <f>COUNTIF(tbl_performance[employee_month_key],tbl_performance[[#This Row],[employee_month_key]])</f>
        <v>1</v>
      </c>
      <c r="G861" s="61">
        <f>tbl_performance[[#This Row],[achieved]]/tbl_performance[[#This Row],[target]]</f>
        <v>0.98039215686274506</v>
      </c>
      <c r="H861" s="60" t="str" cm="1">
        <f t="array" ref="H86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62" spans="1:8" ht="19.8" x14ac:dyDescent="0.65">
      <c r="A862" s="58" t="s">
        <v>191</v>
      </c>
      <c r="B862" s="59">
        <v>45809</v>
      </c>
      <c r="C862" s="60">
        <v>61458</v>
      </c>
      <c r="D862" s="60">
        <v>45892</v>
      </c>
      <c r="E862" s="60" t="str">
        <f>tbl_performance[[#This Row],[employee_id]]&amp;"-"&amp;TEXT(tbl_performance[[#This Row],[month]],"mm")</f>
        <v>EMP1078-06</v>
      </c>
      <c r="F862" s="60">
        <f>COUNTIF(tbl_performance[employee_month_key],tbl_performance[[#This Row],[employee_month_key]])</f>
        <v>1</v>
      </c>
      <c r="G862" s="61">
        <f>tbl_performance[[#This Row],[achieved]]/tbl_performance[[#This Row],[target]]</f>
        <v>0.7467213381496306</v>
      </c>
      <c r="H862" s="60" t="str" cm="1">
        <f t="array" ref="H862">_xlfn.IFS(tbl_performance[[#This Row],[performance_pct]]&gt;=1.1,"Excellent",tbl_performance[[#This Row],[performance_pct]]&gt;=1,"Good",tbl_performance[[#This Row],[performance_pct]]&gt;=0.85,"Average",TRUE,"Poor")</f>
        <v>Poor</v>
      </c>
    </row>
    <row r="863" spans="1:8" ht="19.8" x14ac:dyDescent="0.65">
      <c r="A863" s="58" t="s">
        <v>191</v>
      </c>
      <c r="B863" s="59">
        <v>45839</v>
      </c>
      <c r="C863" s="60">
        <v>62713</v>
      </c>
      <c r="D863" s="60">
        <v>52038</v>
      </c>
      <c r="E863" s="60" t="str">
        <f>tbl_performance[[#This Row],[employee_id]]&amp;"-"&amp;TEXT(tbl_performance[[#This Row],[month]],"mm")</f>
        <v>EMP1078-07</v>
      </c>
      <c r="F863" s="60">
        <f>COUNTIF(tbl_performance[employee_month_key],tbl_performance[[#This Row],[employee_month_key]])</f>
        <v>1</v>
      </c>
      <c r="G863" s="61">
        <f>tbl_performance[[#This Row],[achieved]]/tbl_performance[[#This Row],[target]]</f>
        <v>0.82978010938720836</v>
      </c>
      <c r="H863" s="60" t="str" cm="1">
        <f t="array" ref="H863">_xlfn.IFS(tbl_performance[[#This Row],[performance_pct]]&gt;=1.1,"Excellent",tbl_performance[[#This Row],[performance_pct]]&gt;=1,"Good",tbl_performance[[#This Row],[performance_pct]]&gt;=0.85,"Average",TRUE,"Poor")</f>
        <v>Poor</v>
      </c>
    </row>
    <row r="864" spans="1:8" ht="19.8" x14ac:dyDescent="0.65">
      <c r="A864" s="58" t="s">
        <v>191</v>
      </c>
      <c r="B864" s="59">
        <v>45870</v>
      </c>
      <c r="C864" s="60">
        <v>60831</v>
      </c>
      <c r="D864" s="60">
        <v>54412</v>
      </c>
      <c r="E864" s="60" t="str">
        <f>tbl_performance[[#This Row],[employee_id]]&amp;"-"&amp;TEXT(tbl_performance[[#This Row],[month]],"mm")</f>
        <v>EMP1078-08</v>
      </c>
      <c r="F864" s="60">
        <f>COUNTIF(tbl_performance[employee_month_key],tbl_performance[[#This Row],[employee_month_key]])</f>
        <v>1</v>
      </c>
      <c r="G864" s="61">
        <f>tbl_performance[[#This Row],[achieved]]/tbl_performance[[#This Row],[target]]</f>
        <v>0.8944781443671812</v>
      </c>
      <c r="H864" s="60" t="str" cm="1">
        <f t="array" ref="H86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65" spans="1:8" ht="19.8" x14ac:dyDescent="0.65">
      <c r="A865" s="58" t="s">
        <v>191</v>
      </c>
      <c r="B865" s="59">
        <v>45901</v>
      </c>
      <c r="C865" s="60">
        <v>62713</v>
      </c>
      <c r="D865" s="60">
        <v>42721</v>
      </c>
      <c r="E865" s="60" t="str">
        <f>tbl_performance[[#This Row],[employee_id]]&amp;"-"&amp;TEXT(tbl_performance[[#This Row],[month]],"mm")</f>
        <v>EMP1078-09</v>
      </c>
      <c r="F865" s="60">
        <f>COUNTIF(tbl_performance[employee_month_key],tbl_performance[[#This Row],[employee_month_key]])</f>
        <v>1</v>
      </c>
      <c r="G865" s="61">
        <f>tbl_performance[[#This Row],[achieved]]/tbl_performance[[#This Row],[target]]</f>
        <v>0.68121442125237197</v>
      </c>
      <c r="H865" s="60" t="str" cm="1">
        <f t="array" ref="H865">_xlfn.IFS(tbl_performance[[#This Row],[performance_pct]]&gt;=1.1,"Excellent",tbl_performance[[#This Row],[performance_pct]]&gt;=1,"Good",tbl_performance[[#This Row],[performance_pct]]&gt;=0.85,"Average",TRUE,"Poor")</f>
        <v>Poor</v>
      </c>
    </row>
    <row r="866" spans="1:8" ht="19.8" x14ac:dyDescent="0.65">
      <c r="A866" s="58" t="s">
        <v>191</v>
      </c>
      <c r="B866" s="59">
        <v>45931</v>
      </c>
      <c r="C866" s="60">
        <v>63967</v>
      </c>
      <c r="D866" s="60">
        <v>53474</v>
      </c>
      <c r="E866" s="60" t="str">
        <f>tbl_performance[[#This Row],[employee_id]]&amp;"-"&amp;TEXT(tbl_performance[[#This Row],[month]],"mm")</f>
        <v>EMP1078-10</v>
      </c>
      <c r="F866" s="60">
        <f>COUNTIF(tbl_performance[employee_month_key],tbl_performance[[#This Row],[employee_month_key]])</f>
        <v>1</v>
      </c>
      <c r="G866" s="61">
        <f>tbl_performance[[#This Row],[achieved]]/tbl_performance[[#This Row],[target]]</f>
        <v>0.8359622930573577</v>
      </c>
      <c r="H866" s="60" t="str" cm="1">
        <f t="array" ref="H866">_xlfn.IFS(tbl_performance[[#This Row],[performance_pct]]&gt;=1.1,"Excellent",tbl_performance[[#This Row],[performance_pct]]&gt;=1,"Good",tbl_performance[[#This Row],[performance_pct]]&gt;=0.85,"Average",TRUE,"Poor")</f>
        <v>Poor</v>
      </c>
    </row>
    <row r="867" spans="1:8" ht="19.8" x14ac:dyDescent="0.65">
      <c r="A867" s="58" t="s">
        <v>191</v>
      </c>
      <c r="B867" s="59">
        <v>45962</v>
      </c>
      <c r="C867" s="60">
        <v>62713</v>
      </c>
      <c r="D867" s="60">
        <v>51754</v>
      </c>
      <c r="E867" s="60" t="str">
        <f>tbl_performance[[#This Row],[employee_id]]&amp;"-"&amp;TEXT(tbl_performance[[#This Row],[month]],"mm")</f>
        <v>EMP1078-11</v>
      </c>
      <c r="F867" s="60">
        <f>COUNTIF(tbl_performance[employee_month_key],tbl_performance[[#This Row],[employee_month_key]])</f>
        <v>1</v>
      </c>
      <c r="G867" s="61">
        <f>tbl_performance[[#This Row],[achieved]]/tbl_performance[[#This Row],[target]]</f>
        <v>0.82525154274233414</v>
      </c>
      <c r="H867" s="60" t="str" cm="1">
        <f t="array" ref="H867">_xlfn.IFS(tbl_performance[[#This Row],[performance_pct]]&gt;=1.1,"Excellent",tbl_performance[[#This Row],[performance_pct]]&gt;=1,"Good",tbl_performance[[#This Row],[performance_pct]]&gt;=0.85,"Average",TRUE,"Poor")</f>
        <v>Poor</v>
      </c>
    </row>
    <row r="868" spans="1:8" ht="19.8" x14ac:dyDescent="0.65">
      <c r="A868" s="58" t="s">
        <v>191</v>
      </c>
      <c r="B868" s="59">
        <v>45992</v>
      </c>
      <c r="C868" s="60">
        <v>53306</v>
      </c>
      <c r="D868" s="60">
        <v>45461</v>
      </c>
      <c r="E868" s="60" t="str">
        <f>tbl_performance[[#This Row],[employee_id]]&amp;"-"&amp;TEXT(tbl_performance[[#This Row],[month]],"mm")</f>
        <v>EMP1078-12</v>
      </c>
      <c r="F868" s="60">
        <f>COUNTIF(tbl_performance[employee_month_key],tbl_performance[[#This Row],[employee_month_key]])</f>
        <v>1</v>
      </c>
      <c r="G868" s="61">
        <f>tbl_performance[[#This Row],[achieved]]/tbl_performance[[#This Row],[target]]</f>
        <v>0.85283082579822156</v>
      </c>
      <c r="H868" s="60" t="str" cm="1">
        <f t="array" ref="H86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69" spans="1:8" ht="19.8" x14ac:dyDescent="0.65">
      <c r="A869" s="58" t="s">
        <v>193</v>
      </c>
      <c r="B869" s="59">
        <v>45717</v>
      </c>
      <c r="C869" s="60">
        <v>13</v>
      </c>
      <c r="D869" s="60">
        <v>13</v>
      </c>
      <c r="E869" s="60" t="str">
        <f>tbl_performance[[#This Row],[employee_id]]&amp;"-"&amp;TEXT(tbl_performance[[#This Row],[month]],"mm")</f>
        <v>EMP1079-03</v>
      </c>
      <c r="F869" s="60">
        <f>COUNTIF(tbl_performance[employee_month_key],tbl_performance[[#This Row],[employee_month_key]])</f>
        <v>1</v>
      </c>
      <c r="G869" s="61">
        <f>tbl_performance[[#This Row],[achieved]]/tbl_performance[[#This Row],[target]]</f>
        <v>1</v>
      </c>
      <c r="H869" s="60" t="str" cm="1">
        <f t="array" ref="H869">_xlfn.IFS(tbl_performance[[#This Row],[performance_pct]]&gt;=1.1,"Excellent",tbl_performance[[#This Row],[performance_pct]]&gt;=1,"Good",tbl_performance[[#This Row],[performance_pct]]&gt;=0.85,"Average",TRUE,"Poor")</f>
        <v>Good</v>
      </c>
    </row>
    <row r="870" spans="1:8" ht="19.8" x14ac:dyDescent="0.65">
      <c r="A870" s="58" t="s">
        <v>193</v>
      </c>
      <c r="B870" s="59">
        <v>45748</v>
      </c>
      <c r="C870" s="60">
        <v>12</v>
      </c>
      <c r="D870" s="60">
        <v>11</v>
      </c>
      <c r="E870" s="60" t="str">
        <f>tbl_performance[[#This Row],[employee_id]]&amp;"-"&amp;TEXT(tbl_performance[[#This Row],[month]],"mm")</f>
        <v>EMP1079-04</v>
      </c>
      <c r="F870" s="60">
        <f>COUNTIF(tbl_performance[employee_month_key],tbl_performance[[#This Row],[employee_month_key]])</f>
        <v>1</v>
      </c>
      <c r="G870" s="61">
        <f>tbl_performance[[#This Row],[achieved]]/tbl_performance[[#This Row],[target]]</f>
        <v>0.91666666666666663</v>
      </c>
      <c r="H870" s="60" t="str" cm="1">
        <f t="array" ref="H87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71" spans="1:8" ht="19.8" x14ac:dyDescent="0.65">
      <c r="A871" s="58" t="s">
        <v>193</v>
      </c>
      <c r="B871" s="59">
        <v>45778</v>
      </c>
      <c r="C871" s="60">
        <v>12</v>
      </c>
      <c r="D871" s="60">
        <v>13</v>
      </c>
      <c r="E871" s="60" t="str">
        <f>tbl_performance[[#This Row],[employee_id]]&amp;"-"&amp;TEXT(tbl_performance[[#This Row],[month]],"mm")</f>
        <v>EMP1079-05</v>
      </c>
      <c r="F871" s="60">
        <f>COUNTIF(tbl_performance[employee_month_key],tbl_performance[[#This Row],[employee_month_key]])</f>
        <v>1</v>
      </c>
      <c r="G871" s="61">
        <f>tbl_performance[[#This Row],[achieved]]/tbl_performance[[#This Row],[target]]</f>
        <v>1.0833333333333333</v>
      </c>
      <c r="H871" s="60" t="str" cm="1">
        <f t="array" ref="H871">_xlfn.IFS(tbl_performance[[#This Row],[performance_pct]]&gt;=1.1,"Excellent",tbl_performance[[#This Row],[performance_pct]]&gt;=1,"Good",tbl_performance[[#This Row],[performance_pct]]&gt;=0.85,"Average",TRUE,"Poor")</f>
        <v>Good</v>
      </c>
    </row>
    <row r="872" spans="1:8" ht="19.8" x14ac:dyDescent="0.65">
      <c r="A872" s="58" t="s">
        <v>193</v>
      </c>
      <c r="B872" s="59">
        <v>45809</v>
      </c>
      <c r="C872" s="60">
        <v>12</v>
      </c>
      <c r="D872" s="60">
        <v>13</v>
      </c>
      <c r="E872" s="60" t="str">
        <f>tbl_performance[[#This Row],[employee_id]]&amp;"-"&amp;TEXT(tbl_performance[[#This Row],[month]],"mm")</f>
        <v>EMP1079-06</v>
      </c>
      <c r="F872" s="60">
        <f>COUNTIF(tbl_performance[employee_month_key],tbl_performance[[#This Row],[employee_month_key]])</f>
        <v>1</v>
      </c>
      <c r="G872" s="61">
        <f>tbl_performance[[#This Row],[achieved]]/tbl_performance[[#This Row],[target]]</f>
        <v>1.0833333333333333</v>
      </c>
      <c r="H872" s="60" t="str" cm="1">
        <f t="array" ref="H872">_xlfn.IFS(tbl_performance[[#This Row],[performance_pct]]&gt;=1.1,"Excellent",tbl_performance[[#This Row],[performance_pct]]&gt;=1,"Good",tbl_performance[[#This Row],[performance_pct]]&gt;=0.85,"Average",TRUE,"Poor")</f>
        <v>Good</v>
      </c>
    </row>
    <row r="873" spans="1:8" ht="19.8" x14ac:dyDescent="0.65">
      <c r="A873" s="58" t="s">
        <v>193</v>
      </c>
      <c r="B873" s="59">
        <v>45839</v>
      </c>
      <c r="C873" s="60">
        <v>12</v>
      </c>
      <c r="D873" s="60">
        <v>12</v>
      </c>
      <c r="E873" s="60" t="str">
        <f>tbl_performance[[#This Row],[employee_id]]&amp;"-"&amp;TEXT(tbl_performance[[#This Row],[month]],"mm")</f>
        <v>EMP1079-07</v>
      </c>
      <c r="F873" s="60">
        <f>COUNTIF(tbl_performance[employee_month_key],tbl_performance[[#This Row],[employee_month_key]])</f>
        <v>1</v>
      </c>
      <c r="G873" s="61">
        <f>tbl_performance[[#This Row],[achieved]]/tbl_performance[[#This Row],[target]]</f>
        <v>1</v>
      </c>
      <c r="H873" s="60" t="str" cm="1">
        <f t="array" ref="H873">_xlfn.IFS(tbl_performance[[#This Row],[performance_pct]]&gt;=1.1,"Excellent",tbl_performance[[#This Row],[performance_pct]]&gt;=1,"Good",tbl_performance[[#This Row],[performance_pct]]&gt;=0.85,"Average",TRUE,"Poor")</f>
        <v>Good</v>
      </c>
    </row>
    <row r="874" spans="1:8" ht="19.8" x14ac:dyDescent="0.65">
      <c r="A874" s="58" t="s">
        <v>193</v>
      </c>
      <c r="B874" s="59">
        <v>45870</v>
      </c>
      <c r="C874" s="60">
        <v>12</v>
      </c>
      <c r="D874" s="60">
        <v>12</v>
      </c>
      <c r="E874" s="60" t="str">
        <f>tbl_performance[[#This Row],[employee_id]]&amp;"-"&amp;TEXT(tbl_performance[[#This Row],[month]],"mm")</f>
        <v>EMP1079-08</v>
      </c>
      <c r="F874" s="60">
        <f>COUNTIF(tbl_performance[employee_month_key],tbl_performance[[#This Row],[employee_month_key]])</f>
        <v>1</v>
      </c>
      <c r="G874" s="61">
        <f>tbl_performance[[#This Row],[achieved]]/tbl_performance[[#This Row],[target]]</f>
        <v>1</v>
      </c>
      <c r="H874" s="60" t="str" cm="1">
        <f t="array" ref="H874">_xlfn.IFS(tbl_performance[[#This Row],[performance_pct]]&gt;=1.1,"Excellent",tbl_performance[[#This Row],[performance_pct]]&gt;=1,"Good",tbl_performance[[#This Row],[performance_pct]]&gt;=0.85,"Average",TRUE,"Poor")</f>
        <v>Good</v>
      </c>
    </row>
    <row r="875" spans="1:8" ht="19.8" x14ac:dyDescent="0.65">
      <c r="A875" s="58" t="s">
        <v>193</v>
      </c>
      <c r="B875" s="59">
        <v>45901</v>
      </c>
      <c r="C875" s="60">
        <v>12</v>
      </c>
      <c r="D875" s="60">
        <v>12</v>
      </c>
      <c r="E875" s="60" t="str">
        <f>tbl_performance[[#This Row],[employee_id]]&amp;"-"&amp;TEXT(tbl_performance[[#This Row],[month]],"mm")</f>
        <v>EMP1079-09</v>
      </c>
      <c r="F875" s="60">
        <f>COUNTIF(tbl_performance[employee_month_key],tbl_performance[[#This Row],[employee_month_key]])</f>
        <v>1</v>
      </c>
      <c r="G875" s="61">
        <f>tbl_performance[[#This Row],[achieved]]/tbl_performance[[#This Row],[target]]</f>
        <v>1</v>
      </c>
      <c r="H875" s="60" t="str" cm="1">
        <f t="array" ref="H875">_xlfn.IFS(tbl_performance[[#This Row],[performance_pct]]&gt;=1.1,"Excellent",tbl_performance[[#This Row],[performance_pct]]&gt;=1,"Good",tbl_performance[[#This Row],[performance_pct]]&gt;=0.85,"Average",TRUE,"Poor")</f>
        <v>Good</v>
      </c>
    </row>
    <row r="876" spans="1:8" ht="19.8" x14ac:dyDescent="0.65">
      <c r="A876" s="58" t="s">
        <v>193</v>
      </c>
      <c r="B876" s="59">
        <v>45931</v>
      </c>
      <c r="C876" s="60">
        <v>13</v>
      </c>
      <c r="D876" s="60">
        <v>13</v>
      </c>
      <c r="E876" s="60" t="str">
        <f>tbl_performance[[#This Row],[employee_id]]&amp;"-"&amp;TEXT(tbl_performance[[#This Row],[month]],"mm")</f>
        <v>EMP1079-10</v>
      </c>
      <c r="F876" s="60">
        <f>COUNTIF(tbl_performance[employee_month_key],tbl_performance[[#This Row],[employee_month_key]])</f>
        <v>1</v>
      </c>
      <c r="G876" s="61">
        <f>tbl_performance[[#This Row],[achieved]]/tbl_performance[[#This Row],[target]]</f>
        <v>1</v>
      </c>
      <c r="H876" s="60" t="str" cm="1">
        <f t="array" ref="H876">_xlfn.IFS(tbl_performance[[#This Row],[performance_pct]]&gt;=1.1,"Excellent",tbl_performance[[#This Row],[performance_pct]]&gt;=1,"Good",tbl_performance[[#This Row],[performance_pct]]&gt;=0.85,"Average",TRUE,"Poor")</f>
        <v>Good</v>
      </c>
    </row>
    <row r="877" spans="1:8" ht="19.8" x14ac:dyDescent="0.65">
      <c r="A877" s="58" t="s">
        <v>193</v>
      </c>
      <c r="B877" s="59">
        <v>45962</v>
      </c>
      <c r="C877" s="60">
        <v>12</v>
      </c>
      <c r="D877" s="60">
        <v>12</v>
      </c>
      <c r="E877" s="60" t="str">
        <f>tbl_performance[[#This Row],[employee_id]]&amp;"-"&amp;TEXT(tbl_performance[[#This Row],[month]],"mm")</f>
        <v>EMP1079-11</v>
      </c>
      <c r="F877" s="60">
        <f>COUNTIF(tbl_performance[employee_month_key],tbl_performance[[#This Row],[employee_month_key]])</f>
        <v>1</v>
      </c>
      <c r="G877" s="61">
        <f>tbl_performance[[#This Row],[achieved]]/tbl_performance[[#This Row],[target]]</f>
        <v>1</v>
      </c>
      <c r="H877" s="60" t="str" cm="1">
        <f t="array" ref="H877">_xlfn.IFS(tbl_performance[[#This Row],[performance_pct]]&gt;=1.1,"Excellent",tbl_performance[[#This Row],[performance_pct]]&gt;=1,"Good",tbl_performance[[#This Row],[performance_pct]]&gt;=0.85,"Average",TRUE,"Poor")</f>
        <v>Good</v>
      </c>
    </row>
    <row r="878" spans="1:8" ht="19.8" x14ac:dyDescent="0.65">
      <c r="A878" s="58" t="s">
        <v>193</v>
      </c>
      <c r="B878" s="59">
        <v>45992</v>
      </c>
      <c r="C878" s="60">
        <v>11</v>
      </c>
      <c r="D878" s="60">
        <v>11</v>
      </c>
      <c r="E878" s="60" t="str">
        <f>tbl_performance[[#This Row],[employee_id]]&amp;"-"&amp;TEXT(tbl_performance[[#This Row],[month]],"mm")</f>
        <v>EMP1079-12</v>
      </c>
      <c r="F878" s="60">
        <f>COUNTIF(tbl_performance[employee_month_key],tbl_performance[[#This Row],[employee_month_key]])</f>
        <v>1</v>
      </c>
      <c r="G878" s="61">
        <f>tbl_performance[[#This Row],[achieved]]/tbl_performance[[#This Row],[target]]</f>
        <v>1</v>
      </c>
      <c r="H878" s="60" t="str" cm="1">
        <f t="array" ref="H878">_xlfn.IFS(tbl_performance[[#This Row],[performance_pct]]&gt;=1.1,"Excellent",tbl_performance[[#This Row],[performance_pct]]&gt;=1,"Good",tbl_performance[[#This Row],[performance_pct]]&gt;=0.85,"Average",TRUE,"Poor")</f>
        <v>Good</v>
      </c>
    </row>
    <row r="879" spans="1:8" ht="19.8" x14ac:dyDescent="0.65">
      <c r="A879" s="58" t="s">
        <v>195</v>
      </c>
      <c r="B879" s="59">
        <v>45658</v>
      </c>
      <c r="C879" s="60">
        <v>54713</v>
      </c>
      <c r="D879" s="60">
        <v>54154</v>
      </c>
      <c r="E879" s="60" t="str">
        <f>tbl_performance[[#This Row],[employee_id]]&amp;"-"&amp;TEXT(tbl_performance[[#This Row],[month]],"mm")</f>
        <v>EMP1080-01</v>
      </c>
      <c r="F879" s="60">
        <f>COUNTIF(tbl_performance[employee_month_key],tbl_performance[[#This Row],[employee_month_key]])</f>
        <v>1</v>
      </c>
      <c r="G879" s="61">
        <f>tbl_performance[[#This Row],[achieved]]/tbl_performance[[#This Row],[target]]</f>
        <v>0.98978304973223918</v>
      </c>
      <c r="H879" s="60" t="str" cm="1">
        <f t="array" ref="H87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80" spans="1:8" ht="19.8" x14ac:dyDescent="0.65">
      <c r="A880" s="58" t="s">
        <v>195</v>
      </c>
      <c r="B880" s="59">
        <v>45689</v>
      </c>
      <c r="C880" s="60">
        <v>50883</v>
      </c>
      <c r="D880" s="60">
        <v>48232</v>
      </c>
      <c r="E880" s="60" t="str">
        <f>tbl_performance[[#This Row],[employee_id]]&amp;"-"&amp;TEXT(tbl_performance[[#This Row],[month]],"mm")</f>
        <v>EMP1080-02</v>
      </c>
      <c r="F880" s="60">
        <f>COUNTIF(tbl_performance[employee_month_key],tbl_performance[[#This Row],[employee_month_key]])</f>
        <v>1</v>
      </c>
      <c r="G880" s="61">
        <f>tbl_performance[[#This Row],[achieved]]/tbl_performance[[#This Row],[target]]</f>
        <v>0.94790008450759589</v>
      </c>
      <c r="H880" s="60" t="str" cm="1">
        <f t="array" ref="H88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81" spans="1:8" ht="19.8" x14ac:dyDescent="0.65">
      <c r="A881" s="58" t="s">
        <v>195</v>
      </c>
      <c r="B881" s="59">
        <v>45717</v>
      </c>
      <c r="C881" s="60">
        <v>55807</v>
      </c>
      <c r="D881" s="60">
        <v>49523</v>
      </c>
      <c r="E881" s="60" t="str">
        <f>tbl_performance[[#This Row],[employee_id]]&amp;"-"&amp;TEXT(tbl_performance[[#This Row],[month]],"mm")</f>
        <v>EMP1080-03</v>
      </c>
      <c r="F881" s="60">
        <f>COUNTIF(tbl_performance[employee_month_key],tbl_performance[[#This Row],[employee_month_key]])</f>
        <v>1</v>
      </c>
      <c r="G881" s="61">
        <f>tbl_performance[[#This Row],[achieved]]/tbl_performance[[#This Row],[target]]</f>
        <v>0.88739763828910356</v>
      </c>
      <c r="H881" s="60" t="str" cm="1">
        <f t="array" ref="H88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82" spans="1:8" ht="19.8" x14ac:dyDescent="0.65">
      <c r="A882" s="58" t="s">
        <v>195</v>
      </c>
      <c r="B882" s="59">
        <v>45748</v>
      </c>
      <c r="C882" s="60">
        <v>54713</v>
      </c>
      <c r="D882" s="60">
        <v>54857</v>
      </c>
      <c r="E882" s="60" t="str">
        <f>tbl_performance[[#This Row],[employee_id]]&amp;"-"&amp;TEXT(tbl_performance[[#This Row],[month]],"mm")</f>
        <v>EMP1080-04</v>
      </c>
      <c r="F882" s="60">
        <f>COUNTIF(tbl_performance[employee_month_key],tbl_performance[[#This Row],[employee_month_key]])</f>
        <v>1</v>
      </c>
      <c r="G882" s="61">
        <f>tbl_performance[[#This Row],[achieved]]/tbl_performance[[#This Row],[target]]</f>
        <v>1.0026319156324823</v>
      </c>
      <c r="H882" s="60" t="str" cm="1">
        <f t="array" ref="H882">_xlfn.IFS(tbl_performance[[#This Row],[performance_pct]]&gt;=1.1,"Excellent",tbl_performance[[#This Row],[performance_pct]]&gt;=1,"Good",tbl_performance[[#This Row],[performance_pct]]&gt;=0.85,"Average",TRUE,"Poor")</f>
        <v>Good</v>
      </c>
    </row>
    <row r="883" spans="1:8" ht="19.8" x14ac:dyDescent="0.65">
      <c r="A883" s="58" t="s">
        <v>195</v>
      </c>
      <c r="B883" s="59">
        <v>45778</v>
      </c>
      <c r="C883" s="60">
        <v>54713</v>
      </c>
      <c r="D883" s="60">
        <v>35104</v>
      </c>
      <c r="E883" s="60" t="str">
        <f>tbl_performance[[#This Row],[employee_id]]&amp;"-"&amp;TEXT(tbl_performance[[#This Row],[month]],"mm")</f>
        <v>EMP1080-05</v>
      </c>
      <c r="F883" s="60">
        <f>COUNTIF(tbl_performance[employee_month_key],tbl_performance[[#This Row],[employee_month_key]])</f>
        <v>1</v>
      </c>
      <c r="G883" s="61">
        <f>tbl_performance[[#This Row],[achieved]]/tbl_performance[[#This Row],[target]]</f>
        <v>0.64160254418511142</v>
      </c>
      <c r="H883" s="60" t="str" cm="1">
        <f t="array" ref="H883">_xlfn.IFS(tbl_performance[[#This Row],[performance_pct]]&gt;=1.1,"Excellent",tbl_performance[[#This Row],[performance_pct]]&gt;=1,"Good",tbl_performance[[#This Row],[performance_pct]]&gt;=0.85,"Average",TRUE,"Poor")</f>
        <v>Poor</v>
      </c>
    </row>
    <row r="884" spans="1:8" ht="19.8" x14ac:dyDescent="0.65">
      <c r="A884" s="58" t="s">
        <v>195</v>
      </c>
      <c r="B884" s="59">
        <v>45809</v>
      </c>
      <c r="C884" s="60">
        <v>53619</v>
      </c>
      <c r="D884" s="60">
        <v>55890</v>
      </c>
      <c r="E884" s="60" t="str">
        <f>tbl_performance[[#This Row],[employee_id]]&amp;"-"&amp;TEXT(tbl_performance[[#This Row],[month]],"mm")</f>
        <v>EMP1080-06</v>
      </c>
      <c r="F884" s="60">
        <f>COUNTIF(tbl_performance[employee_month_key],tbl_performance[[#This Row],[employee_month_key]])</f>
        <v>1</v>
      </c>
      <c r="G884" s="61">
        <f>tbl_performance[[#This Row],[achieved]]/tbl_performance[[#This Row],[target]]</f>
        <v>1.0423543893022995</v>
      </c>
      <c r="H884" s="60" t="str" cm="1">
        <f t="array" ref="H884">_xlfn.IFS(tbl_performance[[#This Row],[performance_pct]]&gt;=1.1,"Excellent",tbl_performance[[#This Row],[performance_pct]]&gt;=1,"Good",tbl_performance[[#This Row],[performance_pct]]&gt;=0.85,"Average",TRUE,"Poor")</f>
        <v>Good</v>
      </c>
    </row>
    <row r="885" spans="1:8" ht="19.8" x14ac:dyDescent="0.65">
      <c r="A885" s="58" t="s">
        <v>195</v>
      </c>
      <c r="B885" s="59">
        <v>45839</v>
      </c>
      <c r="C885" s="60">
        <v>54713</v>
      </c>
      <c r="D885" s="60">
        <v>41280</v>
      </c>
      <c r="E885" s="60" t="str">
        <f>tbl_performance[[#This Row],[employee_id]]&amp;"-"&amp;TEXT(tbl_performance[[#This Row],[month]],"mm")</f>
        <v>EMP1080-07</v>
      </c>
      <c r="F885" s="60">
        <f>COUNTIF(tbl_performance[employee_month_key],tbl_performance[[#This Row],[employee_month_key]])</f>
        <v>1</v>
      </c>
      <c r="G885" s="61">
        <f>tbl_performance[[#This Row],[achieved]]/tbl_performance[[#This Row],[target]]</f>
        <v>0.75448248131157125</v>
      </c>
      <c r="H885" s="60" t="str" cm="1">
        <f t="array" ref="H885">_xlfn.IFS(tbl_performance[[#This Row],[performance_pct]]&gt;=1.1,"Excellent",tbl_performance[[#This Row],[performance_pct]]&gt;=1,"Good",tbl_performance[[#This Row],[performance_pct]]&gt;=0.85,"Average",TRUE,"Poor")</f>
        <v>Poor</v>
      </c>
    </row>
    <row r="886" spans="1:8" ht="19.8" x14ac:dyDescent="0.65">
      <c r="A886" s="58" t="s">
        <v>195</v>
      </c>
      <c r="B886" s="59">
        <v>45870</v>
      </c>
      <c r="C886" s="60">
        <v>53072</v>
      </c>
      <c r="D886" s="60">
        <v>47406</v>
      </c>
      <c r="E886" s="60" t="str">
        <f>tbl_performance[[#This Row],[employee_id]]&amp;"-"&amp;TEXT(tbl_performance[[#This Row],[month]],"mm")</f>
        <v>EMP1080-08</v>
      </c>
      <c r="F886" s="60">
        <f>COUNTIF(tbl_performance[employee_month_key],tbl_performance[[#This Row],[employee_month_key]])</f>
        <v>1</v>
      </c>
      <c r="G886" s="61">
        <f>tbl_performance[[#This Row],[achieved]]/tbl_performance[[#This Row],[target]]</f>
        <v>0.89323937292734401</v>
      </c>
      <c r="H886" s="60" t="str" cm="1">
        <f t="array" ref="H88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887" spans="1:8" ht="19.8" x14ac:dyDescent="0.65">
      <c r="A887" s="58" t="s">
        <v>195</v>
      </c>
      <c r="B887" s="59">
        <v>45901</v>
      </c>
      <c r="C887" s="60">
        <v>54713</v>
      </c>
      <c r="D887" s="60">
        <v>44784</v>
      </c>
      <c r="E887" s="60" t="str">
        <f>tbl_performance[[#This Row],[employee_id]]&amp;"-"&amp;TEXT(tbl_performance[[#This Row],[month]],"mm")</f>
        <v>EMP1080-09</v>
      </c>
      <c r="F887" s="60">
        <f>COUNTIF(tbl_performance[employee_month_key],tbl_performance[[#This Row],[employee_month_key]])</f>
        <v>1</v>
      </c>
      <c r="G887" s="61">
        <f>tbl_performance[[#This Row],[achieved]]/tbl_performance[[#This Row],[target]]</f>
        <v>0.81852576170197211</v>
      </c>
      <c r="H887" s="60" t="str" cm="1">
        <f t="array" ref="H887">_xlfn.IFS(tbl_performance[[#This Row],[performance_pct]]&gt;=1.1,"Excellent",tbl_performance[[#This Row],[performance_pct]]&gt;=1,"Good",tbl_performance[[#This Row],[performance_pct]]&gt;=0.85,"Average",TRUE,"Poor")</f>
        <v>Poor</v>
      </c>
    </row>
    <row r="888" spans="1:8" ht="19.8" x14ac:dyDescent="0.65">
      <c r="A888" s="58" t="s">
        <v>195</v>
      </c>
      <c r="B888" s="59">
        <v>45931</v>
      </c>
      <c r="C888" s="60">
        <v>55807</v>
      </c>
      <c r="D888" s="60">
        <v>44758</v>
      </c>
      <c r="E888" s="60" t="str">
        <f>tbl_performance[[#This Row],[employee_id]]&amp;"-"&amp;TEXT(tbl_performance[[#This Row],[month]],"mm")</f>
        <v>EMP1080-10</v>
      </c>
      <c r="F888" s="60">
        <f>COUNTIF(tbl_performance[employee_month_key],tbl_performance[[#This Row],[employee_month_key]])</f>
        <v>1</v>
      </c>
      <c r="G888" s="61">
        <f>tbl_performance[[#This Row],[achieved]]/tbl_performance[[#This Row],[target]]</f>
        <v>0.80201408425466336</v>
      </c>
      <c r="H888" s="60" t="str" cm="1">
        <f t="array" ref="H888">_xlfn.IFS(tbl_performance[[#This Row],[performance_pct]]&gt;=1.1,"Excellent",tbl_performance[[#This Row],[performance_pct]]&gt;=1,"Good",tbl_performance[[#This Row],[performance_pct]]&gt;=0.85,"Average",TRUE,"Poor")</f>
        <v>Poor</v>
      </c>
    </row>
    <row r="889" spans="1:8" ht="19.8" x14ac:dyDescent="0.65">
      <c r="A889" s="58" t="s">
        <v>195</v>
      </c>
      <c r="B889" s="59">
        <v>45962</v>
      </c>
      <c r="C889" s="60">
        <v>54713</v>
      </c>
      <c r="D889" s="60">
        <v>62843</v>
      </c>
      <c r="E889" s="60" t="str">
        <f>tbl_performance[[#This Row],[employee_id]]&amp;"-"&amp;TEXT(tbl_performance[[#This Row],[month]],"mm")</f>
        <v>EMP1080-11</v>
      </c>
      <c r="F889" s="60">
        <f>COUNTIF(tbl_performance[employee_month_key],tbl_performance[[#This Row],[employee_month_key]])</f>
        <v>1</v>
      </c>
      <c r="G889" s="61">
        <f>tbl_performance[[#This Row],[achieved]]/tbl_performance[[#This Row],[target]]</f>
        <v>1.1485935700838923</v>
      </c>
      <c r="H889" s="60" t="str" cm="1">
        <f t="array" ref="H88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890" spans="1:8" ht="19.8" x14ac:dyDescent="0.65">
      <c r="A890" s="58" t="s">
        <v>195</v>
      </c>
      <c r="B890" s="59">
        <v>45992</v>
      </c>
      <c r="C890" s="60">
        <v>46506</v>
      </c>
      <c r="D890" s="60">
        <v>47749</v>
      </c>
      <c r="E890" s="60" t="str">
        <f>tbl_performance[[#This Row],[employee_id]]&amp;"-"&amp;TEXT(tbl_performance[[#This Row],[month]],"mm")</f>
        <v>EMP1080-12</v>
      </c>
      <c r="F890" s="60">
        <f>COUNTIF(tbl_performance[employee_month_key],tbl_performance[[#This Row],[employee_month_key]])</f>
        <v>1</v>
      </c>
      <c r="G890" s="61">
        <f>tbl_performance[[#This Row],[achieved]]/tbl_performance[[#This Row],[target]]</f>
        <v>1.0267277340558207</v>
      </c>
      <c r="H890" s="60" t="str" cm="1">
        <f t="array" ref="H890">_xlfn.IFS(tbl_performance[[#This Row],[performance_pct]]&gt;=1.1,"Excellent",tbl_performance[[#This Row],[performance_pct]]&gt;=1,"Good",tbl_performance[[#This Row],[performance_pct]]&gt;=0.85,"Average",TRUE,"Poor")</f>
        <v>Good</v>
      </c>
    </row>
    <row r="891" spans="1:8" ht="19.8" x14ac:dyDescent="0.65">
      <c r="A891" s="58" t="s">
        <v>197</v>
      </c>
      <c r="B891" s="59">
        <v>45658</v>
      </c>
      <c r="C891" s="60">
        <v>44</v>
      </c>
      <c r="D891" s="60">
        <v>47</v>
      </c>
      <c r="E891" s="60" t="str">
        <f>tbl_performance[[#This Row],[employee_id]]&amp;"-"&amp;TEXT(tbl_performance[[#This Row],[month]],"mm")</f>
        <v>EMP1081-01</v>
      </c>
      <c r="F891" s="60">
        <f>COUNTIF(tbl_performance[employee_month_key],tbl_performance[[#This Row],[employee_month_key]])</f>
        <v>1</v>
      </c>
      <c r="G891" s="61">
        <f>tbl_performance[[#This Row],[achieved]]/tbl_performance[[#This Row],[target]]</f>
        <v>1.0681818181818181</v>
      </c>
      <c r="H891" s="60" t="str" cm="1">
        <f t="array" ref="H891">_xlfn.IFS(tbl_performance[[#This Row],[performance_pct]]&gt;=1.1,"Excellent",tbl_performance[[#This Row],[performance_pct]]&gt;=1,"Good",tbl_performance[[#This Row],[performance_pct]]&gt;=0.85,"Average",TRUE,"Poor")</f>
        <v>Good</v>
      </c>
    </row>
    <row r="892" spans="1:8" ht="19.8" x14ac:dyDescent="0.65">
      <c r="A892" s="58" t="s">
        <v>197</v>
      </c>
      <c r="B892" s="59">
        <v>45689</v>
      </c>
      <c r="C892" s="60">
        <v>41</v>
      </c>
      <c r="D892" s="60">
        <v>45</v>
      </c>
      <c r="E892" s="60" t="str">
        <f>tbl_performance[[#This Row],[employee_id]]&amp;"-"&amp;TEXT(tbl_performance[[#This Row],[month]],"mm")</f>
        <v>EMP1081-02</v>
      </c>
      <c r="F892" s="60">
        <f>COUNTIF(tbl_performance[employee_month_key],tbl_performance[[#This Row],[employee_month_key]])</f>
        <v>1</v>
      </c>
      <c r="G892" s="61">
        <f>tbl_performance[[#This Row],[achieved]]/tbl_performance[[#This Row],[target]]</f>
        <v>1.0975609756097562</v>
      </c>
      <c r="H892" s="60" t="str" cm="1">
        <f t="array" ref="H892">_xlfn.IFS(tbl_performance[[#This Row],[performance_pct]]&gt;=1.1,"Excellent",tbl_performance[[#This Row],[performance_pct]]&gt;=1,"Good",tbl_performance[[#This Row],[performance_pct]]&gt;=0.85,"Average",TRUE,"Poor")</f>
        <v>Good</v>
      </c>
    </row>
    <row r="893" spans="1:8" ht="19.8" x14ac:dyDescent="0.65">
      <c r="A893" s="58" t="s">
        <v>197</v>
      </c>
      <c r="B893" s="59">
        <v>45717</v>
      </c>
      <c r="C893" s="60">
        <v>44</v>
      </c>
      <c r="D893" s="60">
        <v>47</v>
      </c>
      <c r="E893" s="60" t="str">
        <f>tbl_performance[[#This Row],[employee_id]]&amp;"-"&amp;TEXT(tbl_performance[[#This Row],[month]],"mm")</f>
        <v>EMP1081-03</v>
      </c>
      <c r="F893" s="60">
        <f>COUNTIF(tbl_performance[employee_month_key],tbl_performance[[#This Row],[employee_month_key]])</f>
        <v>1</v>
      </c>
      <c r="G893" s="61">
        <f>tbl_performance[[#This Row],[achieved]]/tbl_performance[[#This Row],[target]]</f>
        <v>1.0681818181818181</v>
      </c>
      <c r="H893" s="60" t="str" cm="1">
        <f t="array" ref="H893">_xlfn.IFS(tbl_performance[[#This Row],[performance_pct]]&gt;=1.1,"Excellent",tbl_performance[[#This Row],[performance_pct]]&gt;=1,"Good",tbl_performance[[#This Row],[performance_pct]]&gt;=0.85,"Average",TRUE,"Poor")</f>
        <v>Good</v>
      </c>
    </row>
    <row r="894" spans="1:8" ht="19.8" x14ac:dyDescent="0.65">
      <c r="A894" s="58" t="s">
        <v>197</v>
      </c>
      <c r="B894" s="59">
        <v>45748</v>
      </c>
      <c r="C894" s="60">
        <v>44</v>
      </c>
      <c r="D894" s="60">
        <v>45</v>
      </c>
      <c r="E894" s="60" t="str">
        <f>tbl_performance[[#This Row],[employee_id]]&amp;"-"&amp;TEXT(tbl_performance[[#This Row],[month]],"mm")</f>
        <v>EMP1081-04</v>
      </c>
      <c r="F894" s="60">
        <f>COUNTIF(tbl_performance[employee_month_key],tbl_performance[[#This Row],[employee_month_key]])</f>
        <v>1</v>
      </c>
      <c r="G894" s="61">
        <f>tbl_performance[[#This Row],[achieved]]/tbl_performance[[#This Row],[target]]</f>
        <v>1.0227272727272727</v>
      </c>
      <c r="H894" s="60" t="str" cm="1">
        <f t="array" ref="H894">_xlfn.IFS(tbl_performance[[#This Row],[performance_pct]]&gt;=1.1,"Excellent",tbl_performance[[#This Row],[performance_pct]]&gt;=1,"Good",tbl_performance[[#This Row],[performance_pct]]&gt;=0.85,"Average",TRUE,"Poor")</f>
        <v>Good</v>
      </c>
    </row>
    <row r="895" spans="1:8" ht="19.8" x14ac:dyDescent="0.65">
      <c r="A895" s="58" t="s">
        <v>197</v>
      </c>
      <c r="B895" s="59">
        <v>45778</v>
      </c>
      <c r="C895" s="60">
        <v>44</v>
      </c>
      <c r="D895" s="60">
        <v>49</v>
      </c>
      <c r="E895" s="60" t="str">
        <f>tbl_performance[[#This Row],[employee_id]]&amp;"-"&amp;TEXT(tbl_performance[[#This Row],[month]],"mm")</f>
        <v>EMP1081-05</v>
      </c>
      <c r="F895" s="60">
        <f>COUNTIF(tbl_performance[employee_month_key],tbl_performance[[#This Row],[employee_month_key]])</f>
        <v>1</v>
      </c>
      <c r="G895" s="61">
        <f>tbl_performance[[#This Row],[achieved]]/tbl_performance[[#This Row],[target]]</f>
        <v>1.1136363636363635</v>
      </c>
      <c r="H895" s="60" t="str" cm="1">
        <f t="array" ref="H89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896" spans="1:8" ht="19.8" x14ac:dyDescent="0.65">
      <c r="A896" s="58" t="s">
        <v>197</v>
      </c>
      <c r="B896" s="59">
        <v>45809</v>
      </c>
      <c r="C896" s="60">
        <v>43</v>
      </c>
      <c r="D896" s="60">
        <v>45</v>
      </c>
      <c r="E896" s="60" t="str">
        <f>tbl_performance[[#This Row],[employee_id]]&amp;"-"&amp;TEXT(tbl_performance[[#This Row],[month]],"mm")</f>
        <v>EMP1081-06</v>
      </c>
      <c r="F896" s="60">
        <f>COUNTIF(tbl_performance[employee_month_key],tbl_performance[[#This Row],[employee_month_key]])</f>
        <v>1</v>
      </c>
      <c r="G896" s="61">
        <f>tbl_performance[[#This Row],[achieved]]/tbl_performance[[#This Row],[target]]</f>
        <v>1.0465116279069768</v>
      </c>
      <c r="H896" s="60" t="str" cm="1">
        <f t="array" ref="H896">_xlfn.IFS(tbl_performance[[#This Row],[performance_pct]]&gt;=1.1,"Excellent",tbl_performance[[#This Row],[performance_pct]]&gt;=1,"Good",tbl_performance[[#This Row],[performance_pct]]&gt;=0.85,"Average",TRUE,"Poor")</f>
        <v>Good</v>
      </c>
    </row>
    <row r="897" spans="1:8" ht="19.8" x14ac:dyDescent="0.65">
      <c r="A897" s="58" t="s">
        <v>197</v>
      </c>
      <c r="B897" s="59">
        <v>45839</v>
      </c>
      <c r="C897" s="60">
        <v>44</v>
      </c>
      <c r="D897" s="60">
        <v>45</v>
      </c>
      <c r="E897" s="60" t="str">
        <f>tbl_performance[[#This Row],[employee_id]]&amp;"-"&amp;TEXT(tbl_performance[[#This Row],[month]],"mm")</f>
        <v>EMP1081-07</v>
      </c>
      <c r="F897" s="60">
        <f>COUNTIF(tbl_performance[employee_month_key],tbl_performance[[#This Row],[employee_month_key]])</f>
        <v>1</v>
      </c>
      <c r="G897" s="61">
        <f>tbl_performance[[#This Row],[achieved]]/tbl_performance[[#This Row],[target]]</f>
        <v>1.0227272727272727</v>
      </c>
      <c r="H897" s="60" t="str" cm="1">
        <f t="array" ref="H897">_xlfn.IFS(tbl_performance[[#This Row],[performance_pct]]&gt;=1.1,"Excellent",tbl_performance[[#This Row],[performance_pct]]&gt;=1,"Good",tbl_performance[[#This Row],[performance_pct]]&gt;=0.85,"Average",TRUE,"Poor")</f>
        <v>Good</v>
      </c>
    </row>
    <row r="898" spans="1:8" ht="19.8" x14ac:dyDescent="0.65">
      <c r="A898" s="58" t="s">
        <v>197</v>
      </c>
      <c r="B898" s="59">
        <v>45870</v>
      </c>
      <c r="C898" s="60">
        <v>42</v>
      </c>
      <c r="D898" s="60">
        <v>43</v>
      </c>
      <c r="E898" s="60" t="str">
        <f>tbl_performance[[#This Row],[employee_id]]&amp;"-"&amp;TEXT(tbl_performance[[#This Row],[month]],"mm")</f>
        <v>EMP1081-08</v>
      </c>
      <c r="F898" s="60">
        <f>COUNTIF(tbl_performance[employee_month_key],tbl_performance[[#This Row],[employee_month_key]])</f>
        <v>1</v>
      </c>
      <c r="G898" s="61">
        <f>tbl_performance[[#This Row],[achieved]]/tbl_performance[[#This Row],[target]]</f>
        <v>1.0238095238095237</v>
      </c>
      <c r="H898" s="60" t="str" cm="1">
        <f t="array" ref="H898">_xlfn.IFS(tbl_performance[[#This Row],[performance_pct]]&gt;=1.1,"Excellent",tbl_performance[[#This Row],[performance_pct]]&gt;=1,"Good",tbl_performance[[#This Row],[performance_pct]]&gt;=0.85,"Average",TRUE,"Poor")</f>
        <v>Good</v>
      </c>
    </row>
    <row r="899" spans="1:8" ht="19.8" x14ac:dyDescent="0.65">
      <c r="A899" s="58" t="s">
        <v>197</v>
      </c>
      <c r="B899" s="59">
        <v>45901</v>
      </c>
      <c r="C899" s="60">
        <v>44</v>
      </c>
      <c r="D899" s="60">
        <v>50</v>
      </c>
      <c r="E899" s="60" t="str">
        <f>tbl_performance[[#This Row],[employee_id]]&amp;"-"&amp;TEXT(tbl_performance[[#This Row],[month]],"mm")</f>
        <v>EMP1081-09</v>
      </c>
      <c r="F899" s="60">
        <f>COUNTIF(tbl_performance[employee_month_key],tbl_performance[[#This Row],[employee_month_key]])</f>
        <v>1</v>
      </c>
      <c r="G899" s="61">
        <f>tbl_performance[[#This Row],[achieved]]/tbl_performance[[#This Row],[target]]</f>
        <v>1.1363636363636365</v>
      </c>
      <c r="H899" s="60" t="str" cm="1">
        <f t="array" ref="H89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00" spans="1:8" ht="19.8" x14ac:dyDescent="0.65">
      <c r="A900" s="58" t="s">
        <v>197</v>
      </c>
      <c r="B900" s="59">
        <v>45931</v>
      </c>
      <c r="C900" s="60">
        <v>44</v>
      </c>
      <c r="D900" s="60">
        <v>49</v>
      </c>
      <c r="E900" s="60" t="str">
        <f>tbl_performance[[#This Row],[employee_id]]&amp;"-"&amp;TEXT(tbl_performance[[#This Row],[month]],"mm")</f>
        <v>EMP1081-10</v>
      </c>
      <c r="F900" s="60">
        <f>COUNTIF(tbl_performance[employee_month_key],tbl_performance[[#This Row],[employee_month_key]])</f>
        <v>1</v>
      </c>
      <c r="G900" s="61">
        <f>tbl_performance[[#This Row],[achieved]]/tbl_performance[[#This Row],[target]]</f>
        <v>1.1136363636363635</v>
      </c>
      <c r="H900" s="60" t="str" cm="1">
        <f t="array" ref="H90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01" spans="1:8" ht="19.8" x14ac:dyDescent="0.65">
      <c r="A901" s="58" t="s">
        <v>197</v>
      </c>
      <c r="B901" s="59">
        <v>45962</v>
      </c>
      <c r="C901" s="60">
        <v>44</v>
      </c>
      <c r="D901" s="60">
        <v>47</v>
      </c>
      <c r="E901" s="60" t="str">
        <f>tbl_performance[[#This Row],[employee_id]]&amp;"-"&amp;TEXT(tbl_performance[[#This Row],[month]],"mm")</f>
        <v>EMP1081-11</v>
      </c>
      <c r="F901" s="60">
        <f>COUNTIF(tbl_performance[employee_month_key],tbl_performance[[#This Row],[employee_month_key]])</f>
        <v>1</v>
      </c>
      <c r="G901" s="61">
        <f>tbl_performance[[#This Row],[achieved]]/tbl_performance[[#This Row],[target]]</f>
        <v>1.0681818181818181</v>
      </c>
      <c r="H901" s="60" t="str" cm="1">
        <f t="array" ref="H901">_xlfn.IFS(tbl_performance[[#This Row],[performance_pct]]&gt;=1.1,"Excellent",tbl_performance[[#This Row],[performance_pct]]&gt;=1,"Good",tbl_performance[[#This Row],[performance_pct]]&gt;=0.85,"Average",TRUE,"Poor")</f>
        <v>Good</v>
      </c>
    </row>
    <row r="902" spans="1:8" ht="19.8" x14ac:dyDescent="0.65">
      <c r="A902" s="58" t="s">
        <v>197</v>
      </c>
      <c r="B902" s="59">
        <v>45992</v>
      </c>
      <c r="C902" s="60">
        <v>37</v>
      </c>
      <c r="D902" s="60">
        <v>38</v>
      </c>
      <c r="E902" s="60" t="str">
        <f>tbl_performance[[#This Row],[employee_id]]&amp;"-"&amp;TEXT(tbl_performance[[#This Row],[month]],"mm")</f>
        <v>EMP1081-12</v>
      </c>
      <c r="F902" s="60">
        <f>COUNTIF(tbl_performance[employee_month_key],tbl_performance[[#This Row],[employee_month_key]])</f>
        <v>1</v>
      </c>
      <c r="G902" s="61">
        <f>tbl_performance[[#This Row],[achieved]]/tbl_performance[[#This Row],[target]]</f>
        <v>1.027027027027027</v>
      </c>
      <c r="H902" s="60" t="str" cm="1">
        <f t="array" ref="H902">_xlfn.IFS(tbl_performance[[#This Row],[performance_pct]]&gt;=1.1,"Excellent",tbl_performance[[#This Row],[performance_pct]]&gt;=1,"Good",tbl_performance[[#This Row],[performance_pct]]&gt;=0.85,"Average",TRUE,"Poor")</f>
        <v>Good</v>
      </c>
    </row>
    <row r="903" spans="1:8" ht="19.8" x14ac:dyDescent="0.65">
      <c r="A903" s="58" t="s">
        <v>199</v>
      </c>
      <c r="B903" s="59">
        <v>45658</v>
      </c>
      <c r="C903" s="60">
        <v>54216</v>
      </c>
      <c r="D903" s="60">
        <v>55250</v>
      </c>
      <c r="E903" s="60" t="str">
        <f>tbl_performance[[#This Row],[employee_id]]&amp;"-"&amp;TEXT(tbl_performance[[#This Row],[month]],"mm")</f>
        <v>EMP1082-01</v>
      </c>
      <c r="F903" s="60">
        <f>COUNTIF(tbl_performance[employee_month_key],tbl_performance[[#This Row],[employee_month_key]])</f>
        <v>1</v>
      </c>
      <c r="G903" s="61">
        <f>tbl_performance[[#This Row],[achieved]]/tbl_performance[[#This Row],[target]]</f>
        <v>1.0190718607053268</v>
      </c>
      <c r="H903" s="60" t="str" cm="1">
        <f t="array" ref="H903">_xlfn.IFS(tbl_performance[[#This Row],[performance_pct]]&gt;=1.1,"Excellent",tbl_performance[[#This Row],[performance_pct]]&gt;=1,"Good",tbl_performance[[#This Row],[performance_pct]]&gt;=0.85,"Average",TRUE,"Poor")</f>
        <v>Good</v>
      </c>
    </row>
    <row r="904" spans="1:8" ht="19.8" x14ac:dyDescent="0.65">
      <c r="A904" s="58" t="s">
        <v>199</v>
      </c>
      <c r="B904" s="59">
        <v>45689</v>
      </c>
      <c r="C904" s="60">
        <v>50421</v>
      </c>
      <c r="D904" s="60">
        <v>43863</v>
      </c>
      <c r="E904" s="60" t="str">
        <f>tbl_performance[[#This Row],[employee_id]]&amp;"-"&amp;TEXT(tbl_performance[[#This Row],[month]],"mm")</f>
        <v>EMP1082-02</v>
      </c>
      <c r="F904" s="60">
        <f>COUNTIF(tbl_performance[employee_month_key],tbl_performance[[#This Row],[employee_month_key]])</f>
        <v>1</v>
      </c>
      <c r="G904" s="61">
        <f>tbl_performance[[#This Row],[achieved]]/tbl_performance[[#This Row],[target]]</f>
        <v>0.86993514607008982</v>
      </c>
      <c r="H904" s="60" t="str" cm="1">
        <f t="array" ref="H9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05" spans="1:8" ht="19.8" x14ac:dyDescent="0.65">
      <c r="A905" s="58" t="s">
        <v>199</v>
      </c>
      <c r="B905" s="59">
        <v>45717</v>
      </c>
      <c r="C905" s="60">
        <v>55300</v>
      </c>
      <c r="D905" s="60">
        <v>50083</v>
      </c>
      <c r="E905" s="60" t="str">
        <f>tbl_performance[[#This Row],[employee_id]]&amp;"-"&amp;TEXT(tbl_performance[[#This Row],[month]],"mm")</f>
        <v>EMP1082-03</v>
      </c>
      <c r="F905" s="60">
        <f>COUNTIF(tbl_performance[employee_month_key],tbl_performance[[#This Row],[employee_month_key]])</f>
        <v>1</v>
      </c>
      <c r="G905" s="61">
        <f>tbl_performance[[#This Row],[achieved]]/tbl_performance[[#This Row],[target]]</f>
        <v>0.90566003616636526</v>
      </c>
      <c r="H905" s="60" t="str" cm="1">
        <f t="array" ref="H9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06" spans="1:8" ht="19.8" x14ac:dyDescent="0.65">
      <c r="A906" s="58" t="s">
        <v>199</v>
      </c>
      <c r="B906" s="59">
        <v>45748</v>
      </c>
      <c r="C906" s="60">
        <v>54216</v>
      </c>
      <c r="D906" s="60">
        <v>52411</v>
      </c>
      <c r="E906" s="60" t="str">
        <f>tbl_performance[[#This Row],[employee_id]]&amp;"-"&amp;TEXT(tbl_performance[[#This Row],[month]],"mm")</f>
        <v>EMP1082-04</v>
      </c>
      <c r="F906" s="60">
        <f>COUNTIF(tbl_performance[employee_month_key],tbl_performance[[#This Row],[employee_month_key]])</f>
        <v>1</v>
      </c>
      <c r="G906" s="61">
        <f>tbl_performance[[#This Row],[achieved]]/tbl_performance[[#This Row],[target]]</f>
        <v>0.96670724509369932</v>
      </c>
      <c r="H906" s="60" t="str" cm="1">
        <f t="array" ref="H90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07" spans="1:8" ht="19.8" x14ac:dyDescent="0.65">
      <c r="A907" s="58" t="s">
        <v>199</v>
      </c>
      <c r="B907" s="59">
        <v>45778</v>
      </c>
      <c r="C907" s="60">
        <v>54216</v>
      </c>
      <c r="D907" s="60">
        <v>48173</v>
      </c>
      <c r="E907" s="60" t="str">
        <f>tbl_performance[[#This Row],[employee_id]]&amp;"-"&amp;TEXT(tbl_performance[[#This Row],[month]],"mm")</f>
        <v>EMP1082-05</v>
      </c>
      <c r="F907" s="60">
        <f>COUNTIF(tbl_performance[employee_month_key],tbl_performance[[#This Row],[employee_month_key]])</f>
        <v>1</v>
      </c>
      <c r="G907" s="61">
        <f>tbl_performance[[#This Row],[achieved]]/tbl_performance[[#This Row],[target]]</f>
        <v>0.88853843883724359</v>
      </c>
      <c r="H907" s="60" t="str" cm="1">
        <f t="array" ref="H9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08" spans="1:8" ht="19.8" x14ac:dyDescent="0.65">
      <c r="A908" s="58" t="s">
        <v>199</v>
      </c>
      <c r="B908" s="59">
        <v>45809</v>
      </c>
      <c r="C908" s="60">
        <v>53131</v>
      </c>
      <c r="D908" s="60">
        <v>44618</v>
      </c>
      <c r="E908" s="60" t="str">
        <f>tbl_performance[[#This Row],[employee_id]]&amp;"-"&amp;TEXT(tbl_performance[[#This Row],[month]],"mm")</f>
        <v>EMP1082-06</v>
      </c>
      <c r="F908" s="60">
        <f>COUNTIF(tbl_performance[employee_month_key],tbl_performance[[#This Row],[employee_month_key]])</f>
        <v>1</v>
      </c>
      <c r="G908" s="61">
        <f>tbl_performance[[#This Row],[achieved]]/tbl_performance[[#This Row],[target]]</f>
        <v>0.83977339029944853</v>
      </c>
      <c r="H908" s="60" t="str" cm="1">
        <f t="array" ref="H908">_xlfn.IFS(tbl_performance[[#This Row],[performance_pct]]&gt;=1.1,"Excellent",tbl_performance[[#This Row],[performance_pct]]&gt;=1,"Good",tbl_performance[[#This Row],[performance_pct]]&gt;=0.85,"Average",TRUE,"Poor")</f>
        <v>Poor</v>
      </c>
    </row>
    <row r="909" spans="1:8" ht="19.8" x14ac:dyDescent="0.65">
      <c r="A909" s="58" t="s">
        <v>199</v>
      </c>
      <c r="B909" s="59">
        <v>45839</v>
      </c>
      <c r="C909" s="60">
        <v>54216</v>
      </c>
      <c r="D909" s="60">
        <v>45923</v>
      </c>
      <c r="E909" s="60" t="str">
        <f>tbl_performance[[#This Row],[employee_id]]&amp;"-"&amp;TEXT(tbl_performance[[#This Row],[month]],"mm")</f>
        <v>EMP1082-07</v>
      </c>
      <c r="F909" s="60">
        <f>COUNTIF(tbl_performance[employee_month_key],tbl_performance[[#This Row],[employee_month_key]])</f>
        <v>1</v>
      </c>
      <c r="G909" s="61">
        <f>tbl_performance[[#This Row],[achieved]]/tbl_performance[[#This Row],[target]]</f>
        <v>0.84703777482661946</v>
      </c>
      <c r="H909" s="60" t="str" cm="1">
        <f t="array" ref="H909">_xlfn.IFS(tbl_performance[[#This Row],[performance_pct]]&gt;=1.1,"Excellent",tbl_performance[[#This Row],[performance_pct]]&gt;=1,"Good",tbl_performance[[#This Row],[performance_pct]]&gt;=0.85,"Average",TRUE,"Poor")</f>
        <v>Poor</v>
      </c>
    </row>
    <row r="910" spans="1:8" ht="19.8" x14ac:dyDescent="0.65">
      <c r="A910" s="58" t="s">
        <v>199</v>
      </c>
      <c r="B910" s="59">
        <v>45870</v>
      </c>
      <c r="C910" s="60">
        <v>52589</v>
      </c>
      <c r="D910" s="60">
        <v>45254</v>
      </c>
      <c r="E910" s="60" t="str">
        <f>tbl_performance[[#This Row],[employee_id]]&amp;"-"&amp;TEXT(tbl_performance[[#This Row],[month]],"mm")</f>
        <v>EMP1082-08</v>
      </c>
      <c r="F910" s="60">
        <f>COUNTIF(tbl_performance[employee_month_key],tbl_performance[[#This Row],[employee_month_key]])</f>
        <v>1</v>
      </c>
      <c r="G910" s="61">
        <f>tbl_performance[[#This Row],[achieved]]/tbl_performance[[#This Row],[target]]</f>
        <v>0.86052216242940538</v>
      </c>
      <c r="H910" s="60" t="str" cm="1">
        <f t="array" ref="H91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1" spans="1:8" ht="19.8" x14ac:dyDescent="0.65">
      <c r="A911" s="58" t="s">
        <v>199</v>
      </c>
      <c r="B911" s="59">
        <v>45901</v>
      </c>
      <c r="C911" s="60">
        <v>54216</v>
      </c>
      <c r="D911" s="60">
        <v>46896</v>
      </c>
      <c r="E911" s="60" t="str">
        <f>tbl_performance[[#This Row],[employee_id]]&amp;"-"&amp;TEXT(tbl_performance[[#This Row],[month]],"mm")</f>
        <v>EMP1082-09</v>
      </c>
      <c r="F911" s="60">
        <f>COUNTIF(tbl_performance[employee_month_key],tbl_performance[[#This Row],[employee_month_key]])</f>
        <v>1</v>
      </c>
      <c r="G911" s="61">
        <f>tbl_performance[[#This Row],[achieved]]/tbl_performance[[#This Row],[target]]</f>
        <v>0.86498450641876934</v>
      </c>
      <c r="H911" s="60" t="str" cm="1">
        <f t="array" ref="H91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2" spans="1:8" ht="19.8" x14ac:dyDescent="0.65">
      <c r="A912" s="58" t="s">
        <v>199</v>
      </c>
      <c r="B912" s="59">
        <v>45931</v>
      </c>
      <c r="C912" s="60">
        <v>55300</v>
      </c>
      <c r="D912" s="60">
        <v>52118</v>
      </c>
      <c r="E912" s="60" t="str">
        <f>tbl_performance[[#This Row],[employee_id]]&amp;"-"&amp;TEXT(tbl_performance[[#This Row],[month]],"mm")</f>
        <v>EMP1082-10</v>
      </c>
      <c r="F912" s="60">
        <f>COUNTIF(tbl_performance[employee_month_key],tbl_performance[[#This Row],[employee_month_key]])</f>
        <v>1</v>
      </c>
      <c r="G912" s="61">
        <f>tbl_performance[[#This Row],[achieved]]/tbl_performance[[#This Row],[target]]</f>
        <v>0.9424593128390597</v>
      </c>
      <c r="H912" s="60" t="str" cm="1">
        <f t="array" ref="H9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3" spans="1:8" ht="19.8" x14ac:dyDescent="0.65">
      <c r="A913" s="58" t="s">
        <v>199</v>
      </c>
      <c r="B913" s="59">
        <v>45962</v>
      </c>
      <c r="C913" s="60">
        <v>54216</v>
      </c>
      <c r="D913" s="60">
        <v>52910</v>
      </c>
      <c r="E913" s="60" t="str">
        <f>tbl_performance[[#This Row],[employee_id]]&amp;"-"&amp;TEXT(tbl_performance[[#This Row],[month]],"mm")</f>
        <v>EMP1082-11</v>
      </c>
      <c r="F913" s="60">
        <f>COUNTIF(tbl_performance[employee_month_key],tbl_performance[[#This Row],[employee_month_key]])</f>
        <v>1</v>
      </c>
      <c r="G913" s="61">
        <f>tbl_performance[[#This Row],[achieved]]/tbl_performance[[#This Row],[target]]</f>
        <v>0.97591117013427775</v>
      </c>
      <c r="H913" s="60" t="str" cm="1">
        <f t="array" ref="H91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4" spans="1:8" ht="19.8" x14ac:dyDescent="0.65">
      <c r="A914" s="58" t="s">
        <v>199</v>
      </c>
      <c r="B914" s="59">
        <v>45992</v>
      </c>
      <c r="C914" s="60">
        <v>46083</v>
      </c>
      <c r="D914" s="60">
        <v>49998</v>
      </c>
      <c r="E914" s="60" t="str">
        <f>tbl_performance[[#This Row],[employee_id]]&amp;"-"&amp;TEXT(tbl_performance[[#This Row],[month]],"mm")</f>
        <v>EMP1082-12</v>
      </c>
      <c r="F914" s="60">
        <f>COUNTIF(tbl_performance[employee_month_key],tbl_performance[[#This Row],[employee_month_key]])</f>
        <v>1</v>
      </c>
      <c r="G914" s="61">
        <f>tbl_performance[[#This Row],[achieved]]/tbl_performance[[#This Row],[target]]</f>
        <v>1.0849554065490528</v>
      </c>
      <c r="H914" s="60" t="str" cm="1">
        <f t="array" ref="H914">_xlfn.IFS(tbl_performance[[#This Row],[performance_pct]]&gt;=1.1,"Excellent",tbl_performance[[#This Row],[performance_pct]]&gt;=1,"Good",tbl_performance[[#This Row],[performance_pct]]&gt;=0.85,"Average",TRUE,"Poor")</f>
        <v>Good</v>
      </c>
    </row>
    <row r="915" spans="1:8" ht="19.8" x14ac:dyDescent="0.65">
      <c r="A915" s="58" t="s">
        <v>201</v>
      </c>
      <c r="B915" s="59">
        <v>45658</v>
      </c>
      <c r="C915" s="60">
        <v>258</v>
      </c>
      <c r="D915" s="60">
        <v>234</v>
      </c>
      <c r="E915" s="60" t="str">
        <f>tbl_performance[[#This Row],[employee_id]]&amp;"-"&amp;TEXT(tbl_performance[[#This Row],[month]],"mm")</f>
        <v>EMP1083-01</v>
      </c>
      <c r="F915" s="60">
        <f>COUNTIF(tbl_performance[employee_month_key],tbl_performance[[#This Row],[employee_month_key]])</f>
        <v>1</v>
      </c>
      <c r="G915" s="61">
        <f>tbl_performance[[#This Row],[achieved]]/tbl_performance[[#This Row],[target]]</f>
        <v>0.90697674418604646</v>
      </c>
      <c r="H915" s="60" t="str" cm="1">
        <f t="array" ref="H91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6" spans="1:8" ht="19.8" x14ac:dyDescent="0.65">
      <c r="A916" s="58" t="s">
        <v>201</v>
      </c>
      <c r="B916" s="59">
        <v>45689</v>
      </c>
      <c r="C916" s="60">
        <v>240</v>
      </c>
      <c r="D916" s="60">
        <v>188</v>
      </c>
      <c r="E916" s="60" t="str">
        <f>tbl_performance[[#This Row],[employee_id]]&amp;"-"&amp;TEXT(tbl_performance[[#This Row],[month]],"mm")</f>
        <v>EMP1083-02</v>
      </c>
      <c r="F916" s="60">
        <f>COUNTIF(tbl_performance[employee_month_key],tbl_performance[[#This Row],[employee_month_key]])</f>
        <v>1</v>
      </c>
      <c r="G916" s="61">
        <f>tbl_performance[[#This Row],[achieved]]/tbl_performance[[#This Row],[target]]</f>
        <v>0.78333333333333333</v>
      </c>
      <c r="H916" s="60" t="str" cm="1">
        <f t="array" ref="H916">_xlfn.IFS(tbl_performance[[#This Row],[performance_pct]]&gt;=1.1,"Excellent",tbl_performance[[#This Row],[performance_pct]]&gt;=1,"Good",tbl_performance[[#This Row],[performance_pct]]&gt;=0.85,"Average",TRUE,"Poor")</f>
        <v>Poor</v>
      </c>
    </row>
    <row r="917" spans="1:8" ht="19.8" x14ac:dyDescent="0.65">
      <c r="A917" s="58" t="s">
        <v>201</v>
      </c>
      <c r="B917" s="59">
        <v>45717</v>
      </c>
      <c r="C917" s="60">
        <v>263</v>
      </c>
      <c r="D917" s="60">
        <v>252</v>
      </c>
      <c r="E917" s="60" t="str">
        <f>tbl_performance[[#This Row],[employee_id]]&amp;"-"&amp;TEXT(tbl_performance[[#This Row],[month]],"mm")</f>
        <v>EMP1083-03</v>
      </c>
      <c r="F917" s="60">
        <f>COUNTIF(tbl_performance[employee_month_key],tbl_performance[[#This Row],[employee_month_key]])</f>
        <v>1</v>
      </c>
      <c r="G917" s="61">
        <f>tbl_performance[[#This Row],[achieved]]/tbl_performance[[#This Row],[target]]</f>
        <v>0.95817490494296575</v>
      </c>
      <c r="H917" s="60" t="str" cm="1">
        <f t="array" ref="H91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8" spans="1:8" ht="19.8" x14ac:dyDescent="0.65">
      <c r="A918" s="58" t="s">
        <v>201</v>
      </c>
      <c r="B918" s="59">
        <v>45748</v>
      </c>
      <c r="C918" s="60">
        <v>258</v>
      </c>
      <c r="D918" s="60">
        <v>239</v>
      </c>
      <c r="E918" s="60" t="str">
        <f>tbl_performance[[#This Row],[employee_id]]&amp;"-"&amp;TEXT(tbl_performance[[#This Row],[month]],"mm")</f>
        <v>EMP1083-04</v>
      </c>
      <c r="F918" s="60">
        <f>COUNTIF(tbl_performance[employee_month_key],tbl_performance[[#This Row],[employee_month_key]])</f>
        <v>1</v>
      </c>
      <c r="G918" s="61">
        <f>tbl_performance[[#This Row],[achieved]]/tbl_performance[[#This Row],[target]]</f>
        <v>0.9263565891472868</v>
      </c>
      <c r="H918" s="60" t="str" cm="1">
        <f t="array" ref="H91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19" spans="1:8" ht="19.8" x14ac:dyDescent="0.65">
      <c r="A919" s="58" t="s">
        <v>201</v>
      </c>
      <c r="B919" s="59">
        <v>45778</v>
      </c>
      <c r="C919" s="60">
        <v>258</v>
      </c>
      <c r="D919" s="60">
        <v>249</v>
      </c>
      <c r="E919" s="60" t="str">
        <f>tbl_performance[[#This Row],[employee_id]]&amp;"-"&amp;TEXT(tbl_performance[[#This Row],[month]],"mm")</f>
        <v>EMP1083-05</v>
      </c>
      <c r="F919" s="60">
        <f>COUNTIF(tbl_performance[employee_month_key],tbl_performance[[#This Row],[employee_month_key]])</f>
        <v>1</v>
      </c>
      <c r="G919" s="61">
        <f>tbl_performance[[#This Row],[achieved]]/tbl_performance[[#This Row],[target]]</f>
        <v>0.96511627906976749</v>
      </c>
      <c r="H919" s="60" t="str" cm="1">
        <f t="array" ref="H9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0" spans="1:8" ht="19.8" x14ac:dyDescent="0.65">
      <c r="A920" s="58" t="s">
        <v>201</v>
      </c>
      <c r="B920" s="59">
        <v>45809</v>
      </c>
      <c r="C920" s="60">
        <v>253</v>
      </c>
      <c r="D920" s="60">
        <v>185</v>
      </c>
      <c r="E920" s="60" t="str">
        <f>tbl_performance[[#This Row],[employee_id]]&amp;"-"&amp;TEXT(tbl_performance[[#This Row],[month]],"mm")</f>
        <v>EMP1083-06</v>
      </c>
      <c r="F920" s="60">
        <f>COUNTIF(tbl_performance[employee_month_key],tbl_performance[[#This Row],[employee_month_key]])</f>
        <v>1</v>
      </c>
      <c r="G920" s="61">
        <f>tbl_performance[[#This Row],[achieved]]/tbl_performance[[#This Row],[target]]</f>
        <v>0.73122529644268774</v>
      </c>
      <c r="H920" s="60" t="str" cm="1">
        <f t="array" ref="H920">_xlfn.IFS(tbl_performance[[#This Row],[performance_pct]]&gt;=1.1,"Excellent",tbl_performance[[#This Row],[performance_pct]]&gt;=1,"Good",tbl_performance[[#This Row],[performance_pct]]&gt;=0.85,"Average",TRUE,"Poor")</f>
        <v>Poor</v>
      </c>
    </row>
    <row r="921" spans="1:8" ht="19.8" x14ac:dyDescent="0.65">
      <c r="A921" s="58" t="s">
        <v>201</v>
      </c>
      <c r="B921" s="59">
        <v>45839</v>
      </c>
      <c r="C921" s="60">
        <v>258</v>
      </c>
      <c r="D921" s="60">
        <v>240</v>
      </c>
      <c r="E921" s="60" t="str">
        <f>tbl_performance[[#This Row],[employee_id]]&amp;"-"&amp;TEXT(tbl_performance[[#This Row],[month]],"mm")</f>
        <v>EMP1083-07</v>
      </c>
      <c r="F921" s="60">
        <f>COUNTIF(tbl_performance[employee_month_key],tbl_performance[[#This Row],[employee_month_key]])</f>
        <v>1</v>
      </c>
      <c r="G921" s="61">
        <f>tbl_performance[[#This Row],[achieved]]/tbl_performance[[#This Row],[target]]</f>
        <v>0.93023255813953487</v>
      </c>
      <c r="H921" s="60" t="str" cm="1">
        <f t="array" ref="H9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2" spans="1:8" ht="19.8" x14ac:dyDescent="0.65">
      <c r="A922" s="58" t="s">
        <v>201</v>
      </c>
      <c r="B922" s="59">
        <v>45870</v>
      </c>
      <c r="C922" s="60">
        <v>250</v>
      </c>
      <c r="D922" s="60">
        <v>204</v>
      </c>
      <c r="E922" s="60" t="str">
        <f>tbl_performance[[#This Row],[employee_id]]&amp;"-"&amp;TEXT(tbl_performance[[#This Row],[month]],"mm")</f>
        <v>EMP1083-08</v>
      </c>
      <c r="F922" s="60">
        <f>COUNTIF(tbl_performance[employee_month_key],tbl_performance[[#This Row],[employee_month_key]])</f>
        <v>1</v>
      </c>
      <c r="G922" s="61">
        <f>tbl_performance[[#This Row],[achieved]]/tbl_performance[[#This Row],[target]]</f>
        <v>0.81599999999999995</v>
      </c>
      <c r="H922" s="60" t="str" cm="1">
        <f t="array" ref="H922">_xlfn.IFS(tbl_performance[[#This Row],[performance_pct]]&gt;=1.1,"Excellent",tbl_performance[[#This Row],[performance_pct]]&gt;=1,"Good",tbl_performance[[#This Row],[performance_pct]]&gt;=0.85,"Average",TRUE,"Poor")</f>
        <v>Poor</v>
      </c>
    </row>
    <row r="923" spans="1:8" ht="19.8" x14ac:dyDescent="0.65">
      <c r="A923" s="58" t="s">
        <v>201</v>
      </c>
      <c r="B923" s="59">
        <v>45901</v>
      </c>
      <c r="C923" s="60">
        <v>258</v>
      </c>
      <c r="D923" s="60">
        <v>250</v>
      </c>
      <c r="E923" s="60" t="str">
        <f>tbl_performance[[#This Row],[employee_id]]&amp;"-"&amp;TEXT(tbl_performance[[#This Row],[month]],"mm")</f>
        <v>EMP1083-09</v>
      </c>
      <c r="F923" s="60">
        <f>COUNTIF(tbl_performance[employee_month_key],tbl_performance[[#This Row],[employee_month_key]])</f>
        <v>1</v>
      </c>
      <c r="G923" s="61">
        <f>tbl_performance[[#This Row],[achieved]]/tbl_performance[[#This Row],[target]]</f>
        <v>0.96899224806201545</v>
      </c>
      <c r="H923" s="60" t="str" cm="1">
        <f t="array" ref="H92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4" spans="1:8" ht="19.8" x14ac:dyDescent="0.65">
      <c r="A924" s="58" t="s">
        <v>201</v>
      </c>
      <c r="B924" s="59">
        <v>45931</v>
      </c>
      <c r="C924" s="60">
        <v>263</v>
      </c>
      <c r="D924" s="60">
        <v>221</v>
      </c>
      <c r="E924" s="60" t="str">
        <f>tbl_performance[[#This Row],[employee_id]]&amp;"-"&amp;TEXT(tbl_performance[[#This Row],[month]],"mm")</f>
        <v>EMP1083-10</v>
      </c>
      <c r="F924" s="60">
        <f>COUNTIF(tbl_performance[employee_month_key],tbl_performance[[#This Row],[employee_month_key]])</f>
        <v>1</v>
      </c>
      <c r="G924" s="61">
        <f>tbl_performance[[#This Row],[achieved]]/tbl_performance[[#This Row],[target]]</f>
        <v>0.84030418250950567</v>
      </c>
      <c r="H924" s="60" t="str" cm="1">
        <f t="array" ref="H924">_xlfn.IFS(tbl_performance[[#This Row],[performance_pct]]&gt;=1.1,"Excellent",tbl_performance[[#This Row],[performance_pct]]&gt;=1,"Good",tbl_performance[[#This Row],[performance_pct]]&gt;=0.85,"Average",TRUE,"Poor")</f>
        <v>Poor</v>
      </c>
    </row>
    <row r="925" spans="1:8" ht="19.8" x14ac:dyDescent="0.65">
      <c r="A925" s="58" t="s">
        <v>201</v>
      </c>
      <c r="B925" s="59">
        <v>45962</v>
      </c>
      <c r="C925" s="60">
        <v>258</v>
      </c>
      <c r="D925" s="60">
        <v>256</v>
      </c>
      <c r="E925" s="60" t="str">
        <f>tbl_performance[[#This Row],[employee_id]]&amp;"-"&amp;TEXT(tbl_performance[[#This Row],[month]],"mm")</f>
        <v>EMP1083-11</v>
      </c>
      <c r="F925" s="60">
        <f>COUNTIF(tbl_performance[employee_month_key],tbl_performance[[#This Row],[employee_month_key]])</f>
        <v>1</v>
      </c>
      <c r="G925" s="61">
        <f>tbl_performance[[#This Row],[achieved]]/tbl_performance[[#This Row],[target]]</f>
        <v>0.99224806201550386</v>
      </c>
      <c r="H925" s="60" t="str" cm="1">
        <f t="array" ref="H92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6" spans="1:8" ht="19.8" x14ac:dyDescent="0.65">
      <c r="A926" s="58" t="s">
        <v>201</v>
      </c>
      <c r="B926" s="59">
        <v>45992</v>
      </c>
      <c r="C926" s="60">
        <v>219</v>
      </c>
      <c r="D926" s="60">
        <v>193</v>
      </c>
      <c r="E926" s="60" t="str">
        <f>tbl_performance[[#This Row],[employee_id]]&amp;"-"&amp;TEXT(tbl_performance[[#This Row],[month]],"mm")</f>
        <v>EMP1083-12</v>
      </c>
      <c r="F926" s="60">
        <f>COUNTIF(tbl_performance[employee_month_key],tbl_performance[[#This Row],[employee_month_key]])</f>
        <v>1</v>
      </c>
      <c r="G926" s="61">
        <f>tbl_performance[[#This Row],[achieved]]/tbl_performance[[#This Row],[target]]</f>
        <v>0.88127853881278539</v>
      </c>
      <c r="H926" s="60" t="str" cm="1">
        <f t="array" ref="H92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27" spans="1:8" ht="19.8" x14ac:dyDescent="0.65">
      <c r="A927" s="58" t="s">
        <v>203</v>
      </c>
      <c r="B927" s="59">
        <v>45658</v>
      </c>
      <c r="C927" s="60">
        <v>49</v>
      </c>
      <c r="D927" s="60">
        <v>51</v>
      </c>
      <c r="E927" s="60" t="str">
        <f>tbl_performance[[#This Row],[employee_id]]&amp;"-"&amp;TEXT(tbl_performance[[#This Row],[month]],"mm")</f>
        <v>EMP1084-01</v>
      </c>
      <c r="F927" s="60">
        <f>COUNTIF(tbl_performance[employee_month_key],tbl_performance[[#This Row],[employee_month_key]])</f>
        <v>1</v>
      </c>
      <c r="G927" s="61">
        <f>tbl_performance[[#This Row],[achieved]]/tbl_performance[[#This Row],[target]]</f>
        <v>1.0408163265306123</v>
      </c>
      <c r="H927" s="60" t="str" cm="1">
        <f t="array" ref="H927">_xlfn.IFS(tbl_performance[[#This Row],[performance_pct]]&gt;=1.1,"Excellent",tbl_performance[[#This Row],[performance_pct]]&gt;=1,"Good",tbl_performance[[#This Row],[performance_pct]]&gt;=0.85,"Average",TRUE,"Poor")</f>
        <v>Good</v>
      </c>
    </row>
    <row r="928" spans="1:8" ht="19.8" x14ac:dyDescent="0.65">
      <c r="A928" s="58" t="s">
        <v>203</v>
      </c>
      <c r="B928" s="59">
        <v>45689</v>
      </c>
      <c r="C928" s="60">
        <v>46</v>
      </c>
      <c r="D928" s="60">
        <v>46</v>
      </c>
      <c r="E928" s="60" t="str">
        <f>tbl_performance[[#This Row],[employee_id]]&amp;"-"&amp;TEXT(tbl_performance[[#This Row],[month]],"mm")</f>
        <v>EMP1084-02</v>
      </c>
      <c r="F928" s="60">
        <f>COUNTIF(tbl_performance[employee_month_key],tbl_performance[[#This Row],[employee_month_key]])</f>
        <v>1</v>
      </c>
      <c r="G928" s="61">
        <f>tbl_performance[[#This Row],[achieved]]/tbl_performance[[#This Row],[target]]</f>
        <v>1</v>
      </c>
      <c r="H928" s="60" t="str" cm="1">
        <f t="array" ref="H928">_xlfn.IFS(tbl_performance[[#This Row],[performance_pct]]&gt;=1.1,"Excellent",tbl_performance[[#This Row],[performance_pct]]&gt;=1,"Good",tbl_performance[[#This Row],[performance_pct]]&gt;=0.85,"Average",TRUE,"Poor")</f>
        <v>Good</v>
      </c>
    </row>
    <row r="929" spans="1:8" ht="19.8" x14ac:dyDescent="0.65">
      <c r="A929" s="58" t="s">
        <v>203</v>
      </c>
      <c r="B929" s="59">
        <v>45717</v>
      </c>
      <c r="C929" s="60">
        <v>50</v>
      </c>
      <c r="D929" s="60">
        <v>51</v>
      </c>
      <c r="E929" s="60" t="str">
        <f>tbl_performance[[#This Row],[employee_id]]&amp;"-"&amp;TEXT(tbl_performance[[#This Row],[month]],"mm")</f>
        <v>EMP1084-03</v>
      </c>
      <c r="F929" s="60">
        <f>COUNTIF(tbl_performance[employee_month_key],tbl_performance[[#This Row],[employee_month_key]])</f>
        <v>1</v>
      </c>
      <c r="G929" s="61">
        <f>tbl_performance[[#This Row],[achieved]]/tbl_performance[[#This Row],[target]]</f>
        <v>1.02</v>
      </c>
      <c r="H929" s="60" t="str" cm="1">
        <f t="array" ref="H929">_xlfn.IFS(tbl_performance[[#This Row],[performance_pct]]&gt;=1.1,"Excellent",tbl_performance[[#This Row],[performance_pct]]&gt;=1,"Good",tbl_performance[[#This Row],[performance_pct]]&gt;=0.85,"Average",TRUE,"Poor")</f>
        <v>Good</v>
      </c>
    </row>
    <row r="930" spans="1:8" ht="19.8" x14ac:dyDescent="0.65">
      <c r="A930" s="58" t="s">
        <v>203</v>
      </c>
      <c r="B930" s="59">
        <v>45748</v>
      </c>
      <c r="C930" s="60">
        <v>49</v>
      </c>
      <c r="D930" s="60">
        <v>51</v>
      </c>
      <c r="E930" s="60" t="str">
        <f>tbl_performance[[#This Row],[employee_id]]&amp;"-"&amp;TEXT(tbl_performance[[#This Row],[month]],"mm")</f>
        <v>EMP1084-04</v>
      </c>
      <c r="F930" s="60">
        <f>COUNTIF(tbl_performance[employee_month_key],tbl_performance[[#This Row],[employee_month_key]])</f>
        <v>1</v>
      </c>
      <c r="G930" s="61">
        <f>tbl_performance[[#This Row],[achieved]]/tbl_performance[[#This Row],[target]]</f>
        <v>1.0408163265306123</v>
      </c>
      <c r="H930" s="60" t="str" cm="1">
        <f t="array" ref="H930">_xlfn.IFS(tbl_performance[[#This Row],[performance_pct]]&gt;=1.1,"Excellent",tbl_performance[[#This Row],[performance_pct]]&gt;=1,"Good",tbl_performance[[#This Row],[performance_pct]]&gt;=0.85,"Average",TRUE,"Poor")</f>
        <v>Good</v>
      </c>
    </row>
    <row r="931" spans="1:8" ht="19.8" x14ac:dyDescent="0.65">
      <c r="A931" s="58" t="s">
        <v>203</v>
      </c>
      <c r="B931" s="59">
        <v>45778</v>
      </c>
      <c r="C931" s="60">
        <v>49</v>
      </c>
      <c r="D931" s="60">
        <v>50</v>
      </c>
      <c r="E931" s="60" t="str">
        <f>tbl_performance[[#This Row],[employee_id]]&amp;"-"&amp;TEXT(tbl_performance[[#This Row],[month]],"mm")</f>
        <v>EMP1084-05</v>
      </c>
      <c r="F931" s="60">
        <f>COUNTIF(tbl_performance[employee_month_key],tbl_performance[[#This Row],[employee_month_key]])</f>
        <v>1</v>
      </c>
      <c r="G931" s="61">
        <f>tbl_performance[[#This Row],[achieved]]/tbl_performance[[#This Row],[target]]</f>
        <v>1.0204081632653061</v>
      </c>
      <c r="H931" s="60" t="str" cm="1">
        <f t="array" ref="H931">_xlfn.IFS(tbl_performance[[#This Row],[performance_pct]]&gt;=1.1,"Excellent",tbl_performance[[#This Row],[performance_pct]]&gt;=1,"Good",tbl_performance[[#This Row],[performance_pct]]&gt;=0.85,"Average",TRUE,"Poor")</f>
        <v>Good</v>
      </c>
    </row>
    <row r="932" spans="1:8" ht="19.8" x14ac:dyDescent="0.65">
      <c r="A932" s="58" t="s">
        <v>203</v>
      </c>
      <c r="B932" s="59">
        <v>45809</v>
      </c>
      <c r="C932" s="60">
        <v>48</v>
      </c>
      <c r="D932" s="60">
        <v>49</v>
      </c>
      <c r="E932" s="60" t="str">
        <f>tbl_performance[[#This Row],[employee_id]]&amp;"-"&amp;TEXT(tbl_performance[[#This Row],[month]],"mm")</f>
        <v>EMP1084-06</v>
      </c>
      <c r="F932" s="60">
        <f>COUNTIF(tbl_performance[employee_month_key],tbl_performance[[#This Row],[employee_month_key]])</f>
        <v>1</v>
      </c>
      <c r="G932" s="61">
        <f>tbl_performance[[#This Row],[achieved]]/tbl_performance[[#This Row],[target]]</f>
        <v>1.0208333333333333</v>
      </c>
      <c r="H932" s="60" t="str" cm="1">
        <f t="array" ref="H932">_xlfn.IFS(tbl_performance[[#This Row],[performance_pct]]&gt;=1.1,"Excellent",tbl_performance[[#This Row],[performance_pct]]&gt;=1,"Good",tbl_performance[[#This Row],[performance_pct]]&gt;=0.85,"Average",TRUE,"Poor")</f>
        <v>Good</v>
      </c>
    </row>
    <row r="933" spans="1:8" ht="19.8" x14ac:dyDescent="0.65">
      <c r="A933" s="58" t="s">
        <v>203</v>
      </c>
      <c r="B933" s="59">
        <v>45839</v>
      </c>
      <c r="C933" s="60">
        <v>49</v>
      </c>
      <c r="D933" s="60">
        <v>50</v>
      </c>
      <c r="E933" s="60" t="str">
        <f>tbl_performance[[#This Row],[employee_id]]&amp;"-"&amp;TEXT(tbl_performance[[#This Row],[month]],"mm")</f>
        <v>EMP1084-07</v>
      </c>
      <c r="F933" s="60">
        <f>COUNTIF(tbl_performance[employee_month_key],tbl_performance[[#This Row],[employee_month_key]])</f>
        <v>1</v>
      </c>
      <c r="G933" s="61">
        <f>tbl_performance[[#This Row],[achieved]]/tbl_performance[[#This Row],[target]]</f>
        <v>1.0204081632653061</v>
      </c>
      <c r="H933" s="60" t="str" cm="1">
        <f t="array" ref="H933">_xlfn.IFS(tbl_performance[[#This Row],[performance_pct]]&gt;=1.1,"Excellent",tbl_performance[[#This Row],[performance_pct]]&gt;=1,"Good",tbl_performance[[#This Row],[performance_pct]]&gt;=0.85,"Average",TRUE,"Poor")</f>
        <v>Good</v>
      </c>
    </row>
    <row r="934" spans="1:8" ht="19.8" x14ac:dyDescent="0.65">
      <c r="A934" s="58" t="s">
        <v>203</v>
      </c>
      <c r="B934" s="59">
        <v>45870</v>
      </c>
      <c r="C934" s="60">
        <v>48</v>
      </c>
      <c r="D934" s="60">
        <v>53</v>
      </c>
      <c r="E934" s="60" t="str">
        <f>tbl_performance[[#This Row],[employee_id]]&amp;"-"&amp;TEXT(tbl_performance[[#This Row],[month]],"mm")</f>
        <v>EMP1084-08</v>
      </c>
      <c r="F934" s="60">
        <f>COUNTIF(tbl_performance[employee_month_key],tbl_performance[[#This Row],[employee_month_key]])</f>
        <v>1</v>
      </c>
      <c r="G934" s="61">
        <f>tbl_performance[[#This Row],[achieved]]/tbl_performance[[#This Row],[target]]</f>
        <v>1.1041666666666667</v>
      </c>
      <c r="H934" s="60" t="str" cm="1">
        <f t="array" ref="H93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35" spans="1:8" ht="19.8" x14ac:dyDescent="0.65">
      <c r="A935" s="58" t="s">
        <v>203</v>
      </c>
      <c r="B935" s="59">
        <v>45901</v>
      </c>
      <c r="C935" s="60">
        <v>49</v>
      </c>
      <c r="D935" s="60">
        <v>50</v>
      </c>
      <c r="E935" s="60" t="str">
        <f>tbl_performance[[#This Row],[employee_id]]&amp;"-"&amp;TEXT(tbl_performance[[#This Row],[month]],"mm")</f>
        <v>EMP1084-09</v>
      </c>
      <c r="F935" s="60">
        <f>COUNTIF(tbl_performance[employee_month_key],tbl_performance[[#This Row],[employee_month_key]])</f>
        <v>1</v>
      </c>
      <c r="G935" s="61">
        <f>tbl_performance[[#This Row],[achieved]]/tbl_performance[[#This Row],[target]]</f>
        <v>1.0204081632653061</v>
      </c>
      <c r="H935" s="60" t="str" cm="1">
        <f t="array" ref="H935">_xlfn.IFS(tbl_performance[[#This Row],[performance_pct]]&gt;=1.1,"Excellent",tbl_performance[[#This Row],[performance_pct]]&gt;=1,"Good",tbl_performance[[#This Row],[performance_pct]]&gt;=0.85,"Average",TRUE,"Poor")</f>
        <v>Good</v>
      </c>
    </row>
    <row r="936" spans="1:8" ht="19.8" x14ac:dyDescent="0.65">
      <c r="A936" s="58" t="s">
        <v>203</v>
      </c>
      <c r="B936" s="59">
        <v>45931</v>
      </c>
      <c r="C936" s="60">
        <v>50</v>
      </c>
      <c r="D936" s="60">
        <v>51</v>
      </c>
      <c r="E936" s="60" t="str">
        <f>tbl_performance[[#This Row],[employee_id]]&amp;"-"&amp;TEXT(tbl_performance[[#This Row],[month]],"mm")</f>
        <v>EMP1084-10</v>
      </c>
      <c r="F936" s="60">
        <f>COUNTIF(tbl_performance[employee_month_key],tbl_performance[[#This Row],[employee_month_key]])</f>
        <v>1</v>
      </c>
      <c r="G936" s="61">
        <f>tbl_performance[[#This Row],[achieved]]/tbl_performance[[#This Row],[target]]</f>
        <v>1.02</v>
      </c>
      <c r="H936" s="60" t="str" cm="1">
        <f t="array" ref="H936">_xlfn.IFS(tbl_performance[[#This Row],[performance_pct]]&gt;=1.1,"Excellent",tbl_performance[[#This Row],[performance_pct]]&gt;=1,"Good",tbl_performance[[#This Row],[performance_pct]]&gt;=0.85,"Average",TRUE,"Poor")</f>
        <v>Good</v>
      </c>
    </row>
    <row r="937" spans="1:8" ht="19.8" x14ac:dyDescent="0.65">
      <c r="A937" s="58" t="s">
        <v>203</v>
      </c>
      <c r="B937" s="59">
        <v>45962</v>
      </c>
      <c r="C937" s="60">
        <v>49</v>
      </c>
      <c r="D937" s="60">
        <v>52</v>
      </c>
      <c r="E937" s="60" t="str">
        <f>tbl_performance[[#This Row],[employee_id]]&amp;"-"&amp;TEXT(tbl_performance[[#This Row],[month]],"mm")</f>
        <v>EMP1084-11</v>
      </c>
      <c r="F937" s="60">
        <f>COUNTIF(tbl_performance[employee_month_key],tbl_performance[[#This Row],[employee_month_key]])</f>
        <v>1</v>
      </c>
      <c r="G937" s="61">
        <f>tbl_performance[[#This Row],[achieved]]/tbl_performance[[#This Row],[target]]</f>
        <v>1.0612244897959184</v>
      </c>
      <c r="H937" s="60" t="str" cm="1">
        <f t="array" ref="H937">_xlfn.IFS(tbl_performance[[#This Row],[performance_pct]]&gt;=1.1,"Excellent",tbl_performance[[#This Row],[performance_pct]]&gt;=1,"Good",tbl_performance[[#This Row],[performance_pct]]&gt;=0.85,"Average",TRUE,"Poor")</f>
        <v>Good</v>
      </c>
    </row>
    <row r="938" spans="1:8" ht="19.8" x14ac:dyDescent="0.65">
      <c r="A938" s="58" t="s">
        <v>203</v>
      </c>
      <c r="B938" s="59">
        <v>45992</v>
      </c>
      <c r="C938" s="60">
        <v>42</v>
      </c>
      <c r="D938" s="60">
        <v>44</v>
      </c>
      <c r="E938" s="60" t="str">
        <f>tbl_performance[[#This Row],[employee_id]]&amp;"-"&amp;TEXT(tbl_performance[[#This Row],[month]],"mm")</f>
        <v>EMP1084-12</v>
      </c>
      <c r="F938" s="60">
        <f>COUNTIF(tbl_performance[employee_month_key],tbl_performance[[#This Row],[employee_month_key]])</f>
        <v>1</v>
      </c>
      <c r="G938" s="61">
        <f>tbl_performance[[#This Row],[achieved]]/tbl_performance[[#This Row],[target]]</f>
        <v>1.0476190476190477</v>
      </c>
      <c r="H938" s="60" t="str" cm="1">
        <f t="array" ref="H938">_xlfn.IFS(tbl_performance[[#This Row],[performance_pct]]&gt;=1.1,"Excellent",tbl_performance[[#This Row],[performance_pct]]&gt;=1,"Good",tbl_performance[[#This Row],[performance_pct]]&gt;=0.85,"Average",TRUE,"Poor")</f>
        <v>Good</v>
      </c>
    </row>
    <row r="939" spans="1:8" ht="19.8" x14ac:dyDescent="0.65">
      <c r="A939" s="58" t="s">
        <v>206</v>
      </c>
      <c r="B939" s="59">
        <v>45658</v>
      </c>
      <c r="C939" s="60">
        <v>26</v>
      </c>
      <c r="D939" s="60">
        <v>29</v>
      </c>
      <c r="E939" s="60" t="str">
        <f>tbl_performance[[#This Row],[employee_id]]&amp;"-"&amp;TEXT(tbl_performance[[#This Row],[month]],"mm")</f>
        <v>EMP1085-01</v>
      </c>
      <c r="F939" s="60">
        <f>COUNTIF(tbl_performance[employee_month_key],tbl_performance[[#This Row],[employee_month_key]])</f>
        <v>1</v>
      </c>
      <c r="G939" s="61">
        <f>tbl_performance[[#This Row],[achieved]]/tbl_performance[[#This Row],[target]]</f>
        <v>1.1153846153846154</v>
      </c>
      <c r="H939" s="60" t="str" cm="1">
        <f t="array" ref="H93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0" spans="1:8" ht="19.8" x14ac:dyDescent="0.65">
      <c r="A940" s="58" t="s">
        <v>206</v>
      </c>
      <c r="B940" s="59">
        <v>45689</v>
      </c>
      <c r="C940" s="60">
        <v>25</v>
      </c>
      <c r="D940" s="60">
        <v>27</v>
      </c>
      <c r="E940" s="60" t="str">
        <f>tbl_performance[[#This Row],[employee_id]]&amp;"-"&amp;TEXT(tbl_performance[[#This Row],[month]],"mm")</f>
        <v>EMP1085-02</v>
      </c>
      <c r="F940" s="60">
        <f>COUNTIF(tbl_performance[employee_month_key],tbl_performance[[#This Row],[employee_month_key]])</f>
        <v>1</v>
      </c>
      <c r="G940" s="61">
        <f>tbl_performance[[#This Row],[achieved]]/tbl_performance[[#This Row],[target]]</f>
        <v>1.08</v>
      </c>
      <c r="H940" s="60" t="str" cm="1">
        <f t="array" ref="H940">_xlfn.IFS(tbl_performance[[#This Row],[performance_pct]]&gt;=1.1,"Excellent",tbl_performance[[#This Row],[performance_pct]]&gt;=1,"Good",tbl_performance[[#This Row],[performance_pct]]&gt;=0.85,"Average",TRUE,"Poor")</f>
        <v>Good</v>
      </c>
    </row>
    <row r="941" spans="1:8" ht="19.8" x14ac:dyDescent="0.65">
      <c r="A941" s="58" t="s">
        <v>206</v>
      </c>
      <c r="B941" s="59">
        <v>45717</v>
      </c>
      <c r="C941" s="60">
        <v>27</v>
      </c>
      <c r="D941" s="60">
        <v>31</v>
      </c>
      <c r="E941" s="60" t="str">
        <f>tbl_performance[[#This Row],[employee_id]]&amp;"-"&amp;TEXT(tbl_performance[[#This Row],[month]],"mm")</f>
        <v>EMP1085-03</v>
      </c>
      <c r="F941" s="60">
        <f>COUNTIF(tbl_performance[employee_month_key],tbl_performance[[#This Row],[employee_month_key]])</f>
        <v>1</v>
      </c>
      <c r="G941" s="61">
        <f>tbl_performance[[#This Row],[achieved]]/tbl_performance[[#This Row],[target]]</f>
        <v>1.1481481481481481</v>
      </c>
      <c r="H941" s="60" t="str" cm="1">
        <f t="array" ref="H94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2" spans="1:8" ht="19.8" x14ac:dyDescent="0.65">
      <c r="A942" s="58" t="s">
        <v>206</v>
      </c>
      <c r="B942" s="59">
        <v>45748</v>
      </c>
      <c r="C942" s="60">
        <v>26</v>
      </c>
      <c r="D942" s="60">
        <v>28</v>
      </c>
      <c r="E942" s="60" t="str">
        <f>tbl_performance[[#This Row],[employee_id]]&amp;"-"&amp;TEXT(tbl_performance[[#This Row],[month]],"mm")</f>
        <v>EMP1085-04</v>
      </c>
      <c r="F942" s="60">
        <f>COUNTIF(tbl_performance[employee_month_key],tbl_performance[[#This Row],[employee_month_key]])</f>
        <v>1</v>
      </c>
      <c r="G942" s="61">
        <f>tbl_performance[[#This Row],[achieved]]/tbl_performance[[#This Row],[target]]</f>
        <v>1.0769230769230769</v>
      </c>
      <c r="H942" s="60" t="str" cm="1">
        <f t="array" ref="H942">_xlfn.IFS(tbl_performance[[#This Row],[performance_pct]]&gt;=1.1,"Excellent",tbl_performance[[#This Row],[performance_pct]]&gt;=1,"Good",tbl_performance[[#This Row],[performance_pct]]&gt;=0.85,"Average",TRUE,"Poor")</f>
        <v>Good</v>
      </c>
    </row>
    <row r="943" spans="1:8" ht="19.8" x14ac:dyDescent="0.65">
      <c r="A943" s="58" t="s">
        <v>206</v>
      </c>
      <c r="B943" s="59">
        <v>45778</v>
      </c>
      <c r="C943" s="60">
        <v>26</v>
      </c>
      <c r="D943" s="60">
        <v>29</v>
      </c>
      <c r="E943" s="60" t="str">
        <f>tbl_performance[[#This Row],[employee_id]]&amp;"-"&amp;TEXT(tbl_performance[[#This Row],[month]],"mm")</f>
        <v>EMP1085-05</v>
      </c>
      <c r="F943" s="60">
        <f>COUNTIF(tbl_performance[employee_month_key],tbl_performance[[#This Row],[employee_month_key]])</f>
        <v>1</v>
      </c>
      <c r="G943" s="61">
        <f>tbl_performance[[#This Row],[achieved]]/tbl_performance[[#This Row],[target]]</f>
        <v>1.1153846153846154</v>
      </c>
      <c r="H943" s="60" t="str" cm="1">
        <f t="array" ref="H94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4" spans="1:8" ht="19.8" x14ac:dyDescent="0.65">
      <c r="A944" s="58" t="s">
        <v>206</v>
      </c>
      <c r="B944" s="59">
        <v>45809</v>
      </c>
      <c r="C944" s="60">
        <v>26</v>
      </c>
      <c r="D944" s="60">
        <v>28</v>
      </c>
      <c r="E944" s="60" t="str">
        <f>tbl_performance[[#This Row],[employee_id]]&amp;"-"&amp;TEXT(tbl_performance[[#This Row],[month]],"mm")</f>
        <v>EMP1085-06</v>
      </c>
      <c r="F944" s="60">
        <f>COUNTIF(tbl_performance[employee_month_key],tbl_performance[[#This Row],[employee_month_key]])</f>
        <v>1</v>
      </c>
      <c r="G944" s="61">
        <f>tbl_performance[[#This Row],[achieved]]/tbl_performance[[#This Row],[target]]</f>
        <v>1.0769230769230769</v>
      </c>
      <c r="H944" s="60" t="str" cm="1">
        <f t="array" ref="H944">_xlfn.IFS(tbl_performance[[#This Row],[performance_pct]]&gt;=1.1,"Excellent",tbl_performance[[#This Row],[performance_pct]]&gt;=1,"Good",tbl_performance[[#This Row],[performance_pct]]&gt;=0.85,"Average",TRUE,"Poor")</f>
        <v>Good</v>
      </c>
    </row>
    <row r="945" spans="1:8" ht="19.8" x14ac:dyDescent="0.65">
      <c r="A945" s="58" t="s">
        <v>206</v>
      </c>
      <c r="B945" s="59">
        <v>45839</v>
      </c>
      <c r="C945" s="60">
        <v>26</v>
      </c>
      <c r="D945" s="60">
        <v>29</v>
      </c>
      <c r="E945" s="60" t="str">
        <f>tbl_performance[[#This Row],[employee_id]]&amp;"-"&amp;TEXT(tbl_performance[[#This Row],[month]],"mm")</f>
        <v>EMP1085-07</v>
      </c>
      <c r="F945" s="60">
        <f>COUNTIF(tbl_performance[employee_month_key],tbl_performance[[#This Row],[employee_month_key]])</f>
        <v>1</v>
      </c>
      <c r="G945" s="61">
        <f>tbl_performance[[#This Row],[achieved]]/tbl_performance[[#This Row],[target]]</f>
        <v>1.1153846153846154</v>
      </c>
      <c r="H945" s="60" t="str" cm="1">
        <f t="array" ref="H94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6" spans="1:8" ht="19.8" x14ac:dyDescent="0.65">
      <c r="A946" s="58" t="s">
        <v>206</v>
      </c>
      <c r="B946" s="59">
        <v>45870</v>
      </c>
      <c r="C946" s="60">
        <v>26</v>
      </c>
      <c r="D946" s="60">
        <v>28</v>
      </c>
      <c r="E946" s="60" t="str">
        <f>tbl_performance[[#This Row],[employee_id]]&amp;"-"&amp;TEXT(tbl_performance[[#This Row],[month]],"mm")</f>
        <v>EMP1085-08</v>
      </c>
      <c r="F946" s="60">
        <f>COUNTIF(tbl_performance[employee_month_key],tbl_performance[[#This Row],[employee_month_key]])</f>
        <v>1</v>
      </c>
      <c r="G946" s="61">
        <f>tbl_performance[[#This Row],[achieved]]/tbl_performance[[#This Row],[target]]</f>
        <v>1.0769230769230769</v>
      </c>
      <c r="H946" s="60" t="str" cm="1">
        <f t="array" ref="H946">_xlfn.IFS(tbl_performance[[#This Row],[performance_pct]]&gt;=1.1,"Excellent",tbl_performance[[#This Row],[performance_pct]]&gt;=1,"Good",tbl_performance[[#This Row],[performance_pct]]&gt;=0.85,"Average",TRUE,"Poor")</f>
        <v>Good</v>
      </c>
    </row>
    <row r="947" spans="1:8" ht="19.8" x14ac:dyDescent="0.65">
      <c r="A947" s="58" t="s">
        <v>206</v>
      </c>
      <c r="B947" s="59">
        <v>45901</v>
      </c>
      <c r="C947" s="60">
        <v>26</v>
      </c>
      <c r="D947" s="60">
        <v>29</v>
      </c>
      <c r="E947" s="60" t="str">
        <f>tbl_performance[[#This Row],[employee_id]]&amp;"-"&amp;TEXT(tbl_performance[[#This Row],[month]],"mm")</f>
        <v>EMP1085-09</v>
      </c>
      <c r="F947" s="60">
        <f>COUNTIF(tbl_performance[employee_month_key],tbl_performance[[#This Row],[employee_month_key]])</f>
        <v>1</v>
      </c>
      <c r="G947" s="61">
        <f>tbl_performance[[#This Row],[achieved]]/tbl_performance[[#This Row],[target]]</f>
        <v>1.1153846153846154</v>
      </c>
      <c r="H947" s="60" t="str" cm="1">
        <f t="array" ref="H94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8" spans="1:8" ht="19.8" x14ac:dyDescent="0.65">
      <c r="A948" s="58" t="s">
        <v>206</v>
      </c>
      <c r="B948" s="59">
        <v>45931</v>
      </c>
      <c r="C948" s="60">
        <v>27</v>
      </c>
      <c r="D948" s="60">
        <v>31</v>
      </c>
      <c r="E948" s="60" t="str">
        <f>tbl_performance[[#This Row],[employee_id]]&amp;"-"&amp;TEXT(tbl_performance[[#This Row],[month]],"mm")</f>
        <v>EMP1085-10</v>
      </c>
      <c r="F948" s="60">
        <f>COUNTIF(tbl_performance[employee_month_key],tbl_performance[[#This Row],[employee_month_key]])</f>
        <v>1</v>
      </c>
      <c r="G948" s="61">
        <f>tbl_performance[[#This Row],[achieved]]/tbl_performance[[#This Row],[target]]</f>
        <v>1.1481481481481481</v>
      </c>
      <c r="H948" s="60" t="str" cm="1">
        <f t="array" ref="H94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49" spans="1:8" ht="19.8" x14ac:dyDescent="0.65">
      <c r="A949" s="58" t="s">
        <v>206</v>
      </c>
      <c r="B949" s="59">
        <v>45962</v>
      </c>
      <c r="C949" s="60">
        <v>26</v>
      </c>
      <c r="D949" s="60">
        <v>30</v>
      </c>
      <c r="E949" s="60" t="str">
        <f>tbl_performance[[#This Row],[employee_id]]&amp;"-"&amp;TEXT(tbl_performance[[#This Row],[month]],"mm")</f>
        <v>EMP1085-11</v>
      </c>
      <c r="F949" s="60">
        <f>COUNTIF(tbl_performance[employee_month_key],tbl_performance[[#This Row],[employee_month_key]])</f>
        <v>1</v>
      </c>
      <c r="G949" s="61">
        <f>tbl_performance[[#This Row],[achieved]]/tbl_performance[[#This Row],[target]]</f>
        <v>1.1538461538461537</v>
      </c>
      <c r="H949" s="60" t="str" cm="1">
        <f t="array" ref="H94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50" spans="1:8" ht="19.8" x14ac:dyDescent="0.65">
      <c r="A950" s="58" t="s">
        <v>206</v>
      </c>
      <c r="B950" s="59">
        <v>45992</v>
      </c>
      <c r="C950" s="60">
        <v>23</v>
      </c>
      <c r="D950" s="60">
        <v>25</v>
      </c>
      <c r="E950" s="60" t="str">
        <f>tbl_performance[[#This Row],[employee_id]]&amp;"-"&amp;TEXT(tbl_performance[[#This Row],[month]],"mm")</f>
        <v>EMP1085-12</v>
      </c>
      <c r="F950" s="60">
        <f>COUNTIF(tbl_performance[employee_month_key],tbl_performance[[#This Row],[employee_month_key]])</f>
        <v>1</v>
      </c>
      <c r="G950" s="61">
        <f>tbl_performance[[#This Row],[achieved]]/tbl_performance[[#This Row],[target]]</f>
        <v>1.0869565217391304</v>
      </c>
      <c r="H950" s="60" t="str" cm="1">
        <f t="array" ref="H950">_xlfn.IFS(tbl_performance[[#This Row],[performance_pct]]&gt;=1.1,"Excellent",tbl_performance[[#This Row],[performance_pct]]&gt;=1,"Good",tbl_performance[[#This Row],[performance_pct]]&gt;=0.85,"Average",TRUE,"Poor")</f>
        <v>Good</v>
      </c>
    </row>
    <row r="951" spans="1:8" ht="19.8" x14ac:dyDescent="0.65">
      <c r="A951" s="58" t="s">
        <v>208</v>
      </c>
      <c r="B951" s="59">
        <v>45658</v>
      </c>
      <c r="C951" s="60">
        <v>36</v>
      </c>
      <c r="D951" s="60">
        <v>40</v>
      </c>
      <c r="E951" s="60" t="str">
        <f>tbl_performance[[#This Row],[employee_id]]&amp;"-"&amp;TEXT(tbl_performance[[#This Row],[month]],"mm")</f>
        <v>EMP1086-01</v>
      </c>
      <c r="F951" s="60">
        <f>COUNTIF(tbl_performance[employee_month_key],tbl_performance[[#This Row],[employee_month_key]])</f>
        <v>1</v>
      </c>
      <c r="G951" s="61">
        <f>tbl_performance[[#This Row],[achieved]]/tbl_performance[[#This Row],[target]]</f>
        <v>1.1111111111111112</v>
      </c>
      <c r="H951" s="60" t="str" cm="1">
        <f t="array" ref="H95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52" spans="1:8" ht="19.8" x14ac:dyDescent="0.65">
      <c r="A952" s="58" t="s">
        <v>208</v>
      </c>
      <c r="B952" s="59">
        <v>45689</v>
      </c>
      <c r="C952" s="60">
        <v>34</v>
      </c>
      <c r="D952" s="60">
        <v>38</v>
      </c>
      <c r="E952" s="60" t="str">
        <f>tbl_performance[[#This Row],[employee_id]]&amp;"-"&amp;TEXT(tbl_performance[[#This Row],[month]],"mm")</f>
        <v>EMP1086-02</v>
      </c>
      <c r="F952" s="60">
        <f>COUNTIF(tbl_performance[employee_month_key],tbl_performance[[#This Row],[employee_month_key]])</f>
        <v>1</v>
      </c>
      <c r="G952" s="61">
        <f>tbl_performance[[#This Row],[achieved]]/tbl_performance[[#This Row],[target]]</f>
        <v>1.1176470588235294</v>
      </c>
      <c r="H952" s="60" t="str" cm="1">
        <f t="array" ref="H95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53" spans="1:8" ht="19.8" x14ac:dyDescent="0.65">
      <c r="A953" s="58" t="s">
        <v>208</v>
      </c>
      <c r="B953" s="59">
        <v>45717</v>
      </c>
      <c r="C953" s="60">
        <v>37</v>
      </c>
      <c r="D953" s="60">
        <v>38</v>
      </c>
      <c r="E953" s="60" t="str">
        <f>tbl_performance[[#This Row],[employee_id]]&amp;"-"&amp;TEXT(tbl_performance[[#This Row],[month]],"mm")</f>
        <v>EMP1086-03</v>
      </c>
      <c r="F953" s="60">
        <f>COUNTIF(tbl_performance[employee_month_key],tbl_performance[[#This Row],[employee_month_key]])</f>
        <v>1</v>
      </c>
      <c r="G953" s="61">
        <f>tbl_performance[[#This Row],[achieved]]/tbl_performance[[#This Row],[target]]</f>
        <v>1.027027027027027</v>
      </c>
      <c r="H953" s="60" t="str" cm="1">
        <f t="array" ref="H953">_xlfn.IFS(tbl_performance[[#This Row],[performance_pct]]&gt;=1.1,"Excellent",tbl_performance[[#This Row],[performance_pct]]&gt;=1,"Good",tbl_performance[[#This Row],[performance_pct]]&gt;=0.85,"Average",TRUE,"Poor")</f>
        <v>Good</v>
      </c>
    </row>
    <row r="954" spans="1:8" ht="19.8" x14ac:dyDescent="0.65">
      <c r="A954" s="58" t="s">
        <v>208</v>
      </c>
      <c r="B954" s="59">
        <v>45748</v>
      </c>
      <c r="C954" s="60">
        <v>36</v>
      </c>
      <c r="D954" s="60">
        <v>39</v>
      </c>
      <c r="E954" s="60" t="str">
        <f>tbl_performance[[#This Row],[employee_id]]&amp;"-"&amp;TEXT(tbl_performance[[#This Row],[month]],"mm")</f>
        <v>EMP1086-04</v>
      </c>
      <c r="F954" s="60">
        <f>COUNTIF(tbl_performance[employee_month_key],tbl_performance[[#This Row],[employee_month_key]])</f>
        <v>1</v>
      </c>
      <c r="G954" s="61">
        <f>tbl_performance[[#This Row],[achieved]]/tbl_performance[[#This Row],[target]]</f>
        <v>1.0833333333333333</v>
      </c>
      <c r="H954" s="60" t="str" cm="1">
        <f t="array" ref="H954">_xlfn.IFS(tbl_performance[[#This Row],[performance_pct]]&gt;=1.1,"Excellent",tbl_performance[[#This Row],[performance_pct]]&gt;=1,"Good",tbl_performance[[#This Row],[performance_pct]]&gt;=0.85,"Average",TRUE,"Poor")</f>
        <v>Good</v>
      </c>
    </row>
    <row r="955" spans="1:8" ht="19.8" x14ac:dyDescent="0.65">
      <c r="A955" s="58" t="s">
        <v>208</v>
      </c>
      <c r="B955" s="59">
        <v>45778</v>
      </c>
      <c r="C955" s="60">
        <v>36</v>
      </c>
      <c r="D955" s="60">
        <v>39</v>
      </c>
      <c r="E955" s="60" t="str">
        <f>tbl_performance[[#This Row],[employee_id]]&amp;"-"&amp;TEXT(tbl_performance[[#This Row],[month]],"mm")</f>
        <v>EMP1086-05</v>
      </c>
      <c r="F955" s="60">
        <f>COUNTIF(tbl_performance[employee_month_key],tbl_performance[[#This Row],[employee_month_key]])</f>
        <v>1</v>
      </c>
      <c r="G955" s="61">
        <f>tbl_performance[[#This Row],[achieved]]/tbl_performance[[#This Row],[target]]</f>
        <v>1.0833333333333333</v>
      </c>
      <c r="H955" s="60" t="str" cm="1">
        <f t="array" ref="H955">_xlfn.IFS(tbl_performance[[#This Row],[performance_pct]]&gt;=1.1,"Excellent",tbl_performance[[#This Row],[performance_pct]]&gt;=1,"Good",tbl_performance[[#This Row],[performance_pct]]&gt;=0.85,"Average",TRUE,"Poor")</f>
        <v>Good</v>
      </c>
    </row>
    <row r="956" spans="1:8" ht="19.8" x14ac:dyDescent="0.65">
      <c r="A956" s="58" t="s">
        <v>208</v>
      </c>
      <c r="B956" s="59">
        <v>45809</v>
      </c>
      <c r="C956" s="60">
        <v>36</v>
      </c>
      <c r="D956" s="60">
        <v>38</v>
      </c>
      <c r="E956" s="60" t="str">
        <f>tbl_performance[[#This Row],[employee_id]]&amp;"-"&amp;TEXT(tbl_performance[[#This Row],[month]],"mm")</f>
        <v>EMP1086-06</v>
      </c>
      <c r="F956" s="60">
        <f>COUNTIF(tbl_performance[employee_month_key],tbl_performance[[#This Row],[employee_month_key]])</f>
        <v>1</v>
      </c>
      <c r="G956" s="61">
        <f>tbl_performance[[#This Row],[achieved]]/tbl_performance[[#This Row],[target]]</f>
        <v>1.0555555555555556</v>
      </c>
      <c r="H956" s="60" t="str" cm="1">
        <f t="array" ref="H956">_xlfn.IFS(tbl_performance[[#This Row],[performance_pct]]&gt;=1.1,"Excellent",tbl_performance[[#This Row],[performance_pct]]&gt;=1,"Good",tbl_performance[[#This Row],[performance_pct]]&gt;=0.85,"Average",TRUE,"Poor")</f>
        <v>Good</v>
      </c>
    </row>
    <row r="957" spans="1:8" ht="19.8" x14ac:dyDescent="0.65">
      <c r="A957" s="58" t="s">
        <v>208</v>
      </c>
      <c r="B957" s="59">
        <v>45839</v>
      </c>
      <c r="C957" s="60">
        <v>36</v>
      </c>
      <c r="D957" s="60">
        <v>40</v>
      </c>
      <c r="E957" s="60" t="str">
        <f>tbl_performance[[#This Row],[employee_id]]&amp;"-"&amp;TEXT(tbl_performance[[#This Row],[month]],"mm")</f>
        <v>EMP1086-07</v>
      </c>
      <c r="F957" s="60">
        <f>COUNTIF(tbl_performance[employee_month_key],tbl_performance[[#This Row],[employee_month_key]])</f>
        <v>1</v>
      </c>
      <c r="G957" s="61">
        <f>tbl_performance[[#This Row],[achieved]]/tbl_performance[[#This Row],[target]]</f>
        <v>1.1111111111111112</v>
      </c>
      <c r="H957" s="60" t="str" cm="1">
        <f t="array" ref="H95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958" spans="1:8" ht="19.8" x14ac:dyDescent="0.65">
      <c r="A958" s="58" t="s">
        <v>208</v>
      </c>
      <c r="B958" s="59">
        <v>45870</v>
      </c>
      <c r="C958" s="60">
        <v>35</v>
      </c>
      <c r="D958" s="60">
        <v>36</v>
      </c>
      <c r="E958" s="60" t="str">
        <f>tbl_performance[[#This Row],[employee_id]]&amp;"-"&amp;TEXT(tbl_performance[[#This Row],[month]],"mm")</f>
        <v>EMP1086-08</v>
      </c>
      <c r="F958" s="60">
        <f>COUNTIF(tbl_performance[employee_month_key],tbl_performance[[#This Row],[employee_month_key]])</f>
        <v>1</v>
      </c>
      <c r="G958" s="61">
        <f>tbl_performance[[#This Row],[achieved]]/tbl_performance[[#This Row],[target]]</f>
        <v>1.0285714285714285</v>
      </c>
      <c r="H958" s="60" t="str" cm="1">
        <f t="array" ref="H958">_xlfn.IFS(tbl_performance[[#This Row],[performance_pct]]&gt;=1.1,"Excellent",tbl_performance[[#This Row],[performance_pct]]&gt;=1,"Good",tbl_performance[[#This Row],[performance_pct]]&gt;=0.85,"Average",TRUE,"Poor")</f>
        <v>Good</v>
      </c>
    </row>
    <row r="959" spans="1:8" ht="19.8" x14ac:dyDescent="0.65">
      <c r="A959" s="58" t="s">
        <v>208</v>
      </c>
      <c r="B959" s="59">
        <v>45901</v>
      </c>
      <c r="C959" s="60">
        <v>36</v>
      </c>
      <c r="D959" s="60">
        <v>39</v>
      </c>
      <c r="E959" s="60" t="str">
        <f>tbl_performance[[#This Row],[employee_id]]&amp;"-"&amp;TEXT(tbl_performance[[#This Row],[month]],"mm")</f>
        <v>EMP1086-09</v>
      </c>
      <c r="F959" s="60">
        <f>COUNTIF(tbl_performance[employee_month_key],tbl_performance[[#This Row],[employee_month_key]])</f>
        <v>1</v>
      </c>
      <c r="G959" s="61">
        <f>tbl_performance[[#This Row],[achieved]]/tbl_performance[[#This Row],[target]]</f>
        <v>1.0833333333333333</v>
      </c>
      <c r="H959" s="60" t="str" cm="1">
        <f t="array" ref="H959">_xlfn.IFS(tbl_performance[[#This Row],[performance_pct]]&gt;=1.1,"Excellent",tbl_performance[[#This Row],[performance_pct]]&gt;=1,"Good",tbl_performance[[#This Row],[performance_pct]]&gt;=0.85,"Average",TRUE,"Poor")</f>
        <v>Good</v>
      </c>
    </row>
    <row r="960" spans="1:8" ht="19.8" x14ac:dyDescent="0.65">
      <c r="A960" s="58" t="s">
        <v>208</v>
      </c>
      <c r="B960" s="59">
        <v>45931</v>
      </c>
      <c r="C960" s="60">
        <v>37</v>
      </c>
      <c r="D960" s="60">
        <v>39</v>
      </c>
      <c r="E960" s="60" t="str">
        <f>tbl_performance[[#This Row],[employee_id]]&amp;"-"&amp;TEXT(tbl_performance[[#This Row],[month]],"mm")</f>
        <v>EMP1086-10</v>
      </c>
      <c r="F960" s="60">
        <f>COUNTIF(tbl_performance[employee_month_key],tbl_performance[[#This Row],[employee_month_key]])</f>
        <v>1</v>
      </c>
      <c r="G960" s="61">
        <f>tbl_performance[[#This Row],[achieved]]/tbl_performance[[#This Row],[target]]</f>
        <v>1.0540540540540539</v>
      </c>
      <c r="H960" s="60" t="str" cm="1">
        <f t="array" ref="H960">_xlfn.IFS(tbl_performance[[#This Row],[performance_pct]]&gt;=1.1,"Excellent",tbl_performance[[#This Row],[performance_pct]]&gt;=1,"Good",tbl_performance[[#This Row],[performance_pct]]&gt;=0.85,"Average",TRUE,"Poor")</f>
        <v>Good</v>
      </c>
    </row>
    <row r="961" spans="1:8" ht="19.8" x14ac:dyDescent="0.65">
      <c r="A961" s="58" t="s">
        <v>208</v>
      </c>
      <c r="B961" s="59">
        <v>45962</v>
      </c>
      <c r="C961" s="60">
        <v>36</v>
      </c>
      <c r="D961" s="60">
        <v>39</v>
      </c>
      <c r="E961" s="60" t="str">
        <f>tbl_performance[[#This Row],[employee_id]]&amp;"-"&amp;TEXT(tbl_performance[[#This Row],[month]],"mm")</f>
        <v>EMP1086-11</v>
      </c>
      <c r="F961" s="60">
        <f>COUNTIF(tbl_performance[employee_month_key],tbl_performance[[#This Row],[employee_month_key]])</f>
        <v>1</v>
      </c>
      <c r="G961" s="61">
        <f>tbl_performance[[#This Row],[achieved]]/tbl_performance[[#This Row],[target]]</f>
        <v>1.0833333333333333</v>
      </c>
      <c r="H961" s="60" t="str" cm="1">
        <f t="array" ref="H961">_xlfn.IFS(tbl_performance[[#This Row],[performance_pct]]&gt;=1.1,"Excellent",tbl_performance[[#This Row],[performance_pct]]&gt;=1,"Good",tbl_performance[[#This Row],[performance_pct]]&gt;=0.85,"Average",TRUE,"Poor")</f>
        <v>Good</v>
      </c>
    </row>
    <row r="962" spans="1:8" ht="19.8" x14ac:dyDescent="0.65">
      <c r="A962" s="58" t="s">
        <v>208</v>
      </c>
      <c r="B962" s="59">
        <v>45992</v>
      </c>
      <c r="C962" s="60">
        <v>31</v>
      </c>
      <c r="D962" s="60">
        <v>30</v>
      </c>
      <c r="E962" s="60" t="str">
        <f>tbl_performance[[#This Row],[employee_id]]&amp;"-"&amp;TEXT(tbl_performance[[#This Row],[month]],"mm")</f>
        <v>EMP1086-12</v>
      </c>
      <c r="F962" s="60">
        <f>COUNTIF(tbl_performance[employee_month_key],tbl_performance[[#This Row],[employee_month_key]])</f>
        <v>1</v>
      </c>
      <c r="G962" s="61">
        <f>tbl_performance[[#This Row],[achieved]]/tbl_performance[[#This Row],[target]]</f>
        <v>0.967741935483871</v>
      </c>
      <c r="H962" s="60" t="str" cm="1">
        <f t="array" ref="H96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63" spans="1:8" ht="19.8" x14ac:dyDescent="0.65">
      <c r="A963" s="58" t="s">
        <v>210</v>
      </c>
      <c r="B963" s="59">
        <v>45658</v>
      </c>
      <c r="C963" s="60">
        <v>55638</v>
      </c>
      <c r="D963" s="60">
        <v>46549</v>
      </c>
      <c r="E963" s="60" t="str">
        <f>tbl_performance[[#This Row],[employee_id]]&amp;"-"&amp;TEXT(tbl_performance[[#This Row],[month]],"mm")</f>
        <v>EMP1087-01</v>
      </c>
      <c r="F963" s="60">
        <f>COUNTIF(tbl_performance[employee_month_key],tbl_performance[[#This Row],[employee_month_key]])</f>
        <v>1</v>
      </c>
      <c r="G963" s="61">
        <f>tbl_performance[[#This Row],[achieved]]/tbl_performance[[#This Row],[target]]</f>
        <v>0.83664042560839713</v>
      </c>
      <c r="H963" s="60" t="str" cm="1">
        <f t="array" ref="H963">_xlfn.IFS(tbl_performance[[#This Row],[performance_pct]]&gt;=1.1,"Excellent",tbl_performance[[#This Row],[performance_pct]]&gt;=1,"Good",tbl_performance[[#This Row],[performance_pct]]&gt;=0.85,"Average",TRUE,"Poor")</f>
        <v>Poor</v>
      </c>
    </row>
    <row r="964" spans="1:8" ht="19.8" x14ac:dyDescent="0.65">
      <c r="A964" s="58" t="s">
        <v>210</v>
      </c>
      <c r="B964" s="59">
        <v>45689</v>
      </c>
      <c r="C964" s="60">
        <v>51743</v>
      </c>
      <c r="D964" s="60">
        <v>31704</v>
      </c>
      <c r="E964" s="60" t="str">
        <f>tbl_performance[[#This Row],[employee_id]]&amp;"-"&amp;TEXT(tbl_performance[[#This Row],[month]],"mm")</f>
        <v>EMP1087-02</v>
      </c>
      <c r="F964" s="60">
        <f>COUNTIF(tbl_performance[employee_month_key],tbl_performance[[#This Row],[employee_month_key]])</f>
        <v>1</v>
      </c>
      <c r="G964" s="61">
        <f>tbl_performance[[#This Row],[achieved]]/tbl_performance[[#This Row],[target]]</f>
        <v>0.61272056123533614</v>
      </c>
      <c r="H964" s="60" t="str" cm="1">
        <f t="array" ref="H964">_xlfn.IFS(tbl_performance[[#This Row],[performance_pct]]&gt;=1.1,"Excellent",tbl_performance[[#This Row],[performance_pct]]&gt;=1,"Good",tbl_performance[[#This Row],[performance_pct]]&gt;=0.85,"Average",TRUE,"Poor")</f>
        <v>Poor</v>
      </c>
    </row>
    <row r="965" spans="1:8" ht="19.8" x14ac:dyDescent="0.65">
      <c r="A965" s="58" t="s">
        <v>210</v>
      </c>
      <c r="B965" s="59">
        <v>45717</v>
      </c>
      <c r="C965" s="60">
        <v>56751</v>
      </c>
      <c r="D965" s="60">
        <v>35708</v>
      </c>
      <c r="E965" s="60" t="str">
        <f>tbl_performance[[#This Row],[employee_id]]&amp;"-"&amp;TEXT(tbl_performance[[#This Row],[month]],"mm")</f>
        <v>EMP1087-03</v>
      </c>
      <c r="F965" s="60">
        <f>COUNTIF(tbl_performance[employee_month_key],tbl_performance[[#This Row],[employee_month_key]])</f>
        <v>1</v>
      </c>
      <c r="G965" s="61">
        <f>tbl_performance[[#This Row],[achieved]]/tbl_performance[[#This Row],[target]]</f>
        <v>0.62920477172208422</v>
      </c>
      <c r="H965" s="60" t="str" cm="1">
        <f t="array" ref="H965">_xlfn.IFS(tbl_performance[[#This Row],[performance_pct]]&gt;=1.1,"Excellent",tbl_performance[[#This Row],[performance_pct]]&gt;=1,"Good",tbl_performance[[#This Row],[performance_pct]]&gt;=0.85,"Average",TRUE,"Poor")</f>
        <v>Poor</v>
      </c>
    </row>
    <row r="966" spans="1:8" ht="19.8" x14ac:dyDescent="0.65">
      <c r="A966" s="58" t="s">
        <v>210</v>
      </c>
      <c r="B966" s="59">
        <v>45748</v>
      </c>
      <c r="C966" s="60">
        <v>55638</v>
      </c>
      <c r="D966" s="60">
        <v>28599</v>
      </c>
      <c r="E966" s="60" t="str">
        <f>tbl_performance[[#This Row],[employee_id]]&amp;"-"&amp;TEXT(tbl_performance[[#This Row],[month]],"mm")</f>
        <v>EMP1087-04</v>
      </c>
      <c r="F966" s="60">
        <f>COUNTIF(tbl_performance[employee_month_key],tbl_performance[[#This Row],[employee_month_key]])</f>
        <v>1</v>
      </c>
      <c r="G966" s="61">
        <f>tbl_performance[[#This Row],[achieved]]/tbl_performance[[#This Row],[target]]</f>
        <v>0.51401919551385744</v>
      </c>
      <c r="H966" s="60" t="str" cm="1">
        <f t="array" ref="H966">_xlfn.IFS(tbl_performance[[#This Row],[performance_pct]]&gt;=1.1,"Excellent",tbl_performance[[#This Row],[performance_pct]]&gt;=1,"Good",tbl_performance[[#This Row],[performance_pct]]&gt;=0.85,"Average",TRUE,"Poor")</f>
        <v>Poor</v>
      </c>
    </row>
    <row r="967" spans="1:8" ht="19.8" x14ac:dyDescent="0.65">
      <c r="A967" s="58" t="s">
        <v>210</v>
      </c>
      <c r="B967" s="59">
        <v>45778</v>
      </c>
      <c r="C967" s="60">
        <v>55638</v>
      </c>
      <c r="D967" s="60">
        <v>37080</v>
      </c>
      <c r="E967" s="60" t="str">
        <f>tbl_performance[[#This Row],[employee_id]]&amp;"-"&amp;TEXT(tbl_performance[[#This Row],[month]],"mm")</f>
        <v>EMP1087-05</v>
      </c>
      <c r="F967" s="60">
        <f>COUNTIF(tbl_performance[employee_month_key],tbl_performance[[#This Row],[employee_month_key]])</f>
        <v>1</v>
      </c>
      <c r="G967" s="61">
        <f>tbl_performance[[#This Row],[achieved]]/tbl_performance[[#This Row],[target]]</f>
        <v>0.66645098673568426</v>
      </c>
      <c r="H967" s="60" t="str" cm="1">
        <f t="array" ref="H967">_xlfn.IFS(tbl_performance[[#This Row],[performance_pct]]&gt;=1.1,"Excellent",tbl_performance[[#This Row],[performance_pct]]&gt;=1,"Good",tbl_performance[[#This Row],[performance_pct]]&gt;=0.85,"Average",TRUE,"Poor")</f>
        <v>Poor</v>
      </c>
    </row>
    <row r="968" spans="1:8" ht="19.8" x14ac:dyDescent="0.65">
      <c r="A968" s="58" t="s">
        <v>210</v>
      </c>
      <c r="B968" s="59">
        <v>45809</v>
      </c>
      <c r="C968" s="60">
        <v>54525</v>
      </c>
      <c r="D968" s="60">
        <v>32664</v>
      </c>
      <c r="E968" s="60" t="str">
        <f>tbl_performance[[#This Row],[employee_id]]&amp;"-"&amp;TEXT(tbl_performance[[#This Row],[month]],"mm")</f>
        <v>EMP1087-06</v>
      </c>
      <c r="F968" s="60">
        <f>COUNTIF(tbl_performance[employee_month_key],tbl_performance[[#This Row],[employee_month_key]])</f>
        <v>1</v>
      </c>
      <c r="G968" s="61">
        <f>tbl_performance[[#This Row],[achieved]]/tbl_performance[[#This Row],[target]]</f>
        <v>0.59906464924346625</v>
      </c>
      <c r="H968" s="60" t="str" cm="1">
        <f t="array" ref="H968">_xlfn.IFS(tbl_performance[[#This Row],[performance_pct]]&gt;=1.1,"Excellent",tbl_performance[[#This Row],[performance_pct]]&gt;=1,"Good",tbl_performance[[#This Row],[performance_pct]]&gt;=0.85,"Average",TRUE,"Poor")</f>
        <v>Poor</v>
      </c>
    </row>
    <row r="969" spans="1:8" ht="19.8" x14ac:dyDescent="0.65">
      <c r="A969" s="58" t="s">
        <v>210</v>
      </c>
      <c r="B969" s="59">
        <v>45839</v>
      </c>
      <c r="C969" s="60">
        <v>55638</v>
      </c>
      <c r="D969" s="60">
        <v>49883</v>
      </c>
      <c r="E969" s="60" t="str">
        <f>tbl_performance[[#This Row],[employee_id]]&amp;"-"&amp;TEXT(tbl_performance[[#This Row],[month]],"mm")</f>
        <v>EMP1087-07</v>
      </c>
      <c r="F969" s="60">
        <f>COUNTIF(tbl_performance[employee_month_key],tbl_performance[[#This Row],[employee_month_key]])</f>
        <v>1</v>
      </c>
      <c r="G969" s="61">
        <f>tbl_performance[[#This Row],[achieved]]/tbl_performance[[#This Row],[target]]</f>
        <v>0.89656349976634675</v>
      </c>
      <c r="H969" s="60" t="str" cm="1">
        <f t="array" ref="H96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70" spans="1:8" ht="19.8" x14ac:dyDescent="0.65">
      <c r="A970" s="58" t="s">
        <v>210</v>
      </c>
      <c r="B970" s="59">
        <v>45870</v>
      </c>
      <c r="C970" s="60">
        <v>53969</v>
      </c>
      <c r="D970" s="60">
        <v>45029</v>
      </c>
      <c r="E970" s="60" t="str">
        <f>tbl_performance[[#This Row],[employee_id]]&amp;"-"&amp;TEXT(tbl_performance[[#This Row],[month]],"mm")</f>
        <v>EMP1087-08</v>
      </c>
      <c r="F970" s="60">
        <f>COUNTIF(tbl_performance[employee_month_key],tbl_performance[[#This Row],[employee_month_key]])</f>
        <v>1</v>
      </c>
      <c r="G970" s="61">
        <f>tbl_performance[[#This Row],[achieved]]/tbl_performance[[#This Row],[target]]</f>
        <v>0.83434934870017974</v>
      </c>
      <c r="H970" s="60" t="str" cm="1">
        <f t="array" ref="H970">_xlfn.IFS(tbl_performance[[#This Row],[performance_pct]]&gt;=1.1,"Excellent",tbl_performance[[#This Row],[performance_pct]]&gt;=1,"Good",tbl_performance[[#This Row],[performance_pct]]&gt;=0.85,"Average",TRUE,"Poor")</f>
        <v>Poor</v>
      </c>
    </row>
    <row r="971" spans="1:8" ht="19.8" x14ac:dyDescent="0.65">
      <c r="A971" s="58" t="s">
        <v>210</v>
      </c>
      <c r="B971" s="59">
        <v>45901</v>
      </c>
      <c r="C971" s="60">
        <v>55638</v>
      </c>
      <c r="D971" s="60">
        <v>37031</v>
      </c>
      <c r="E971" s="60" t="str">
        <f>tbl_performance[[#This Row],[employee_id]]&amp;"-"&amp;TEXT(tbl_performance[[#This Row],[month]],"mm")</f>
        <v>EMP1087-09</v>
      </c>
      <c r="F971" s="60">
        <f>COUNTIF(tbl_performance[employee_month_key],tbl_performance[[#This Row],[employee_month_key]])</f>
        <v>1</v>
      </c>
      <c r="G971" s="61">
        <f>tbl_performance[[#This Row],[achieved]]/tbl_performance[[#This Row],[target]]</f>
        <v>0.66557029368417264</v>
      </c>
      <c r="H971" s="60" t="str" cm="1">
        <f t="array" ref="H971">_xlfn.IFS(tbl_performance[[#This Row],[performance_pct]]&gt;=1.1,"Excellent",tbl_performance[[#This Row],[performance_pct]]&gt;=1,"Good",tbl_performance[[#This Row],[performance_pct]]&gt;=0.85,"Average",TRUE,"Poor")</f>
        <v>Poor</v>
      </c>
    </row>
    <row r="972" spans="1:8" ht="19.8" x14ac:dyDescent="0.65">
      <c r="A972" s="58" t="s">
        <v>210</v>
      </c>
      <c r="B972" s="59">
        <v>45931</v>
      </c>
      <c r="C972" s="60">
        <v>56751</v>
      </c>
      <c r="D972" s="60">
        <v>54516</v>
      </c>
      <c r="E972" s="60" t="str">
        <f>tbl_performance[[#This Row],[employee_id]]&amp;"-"&amp;TEXT(tbl_performance[[#This Row],[month]],"mm")</f>
        <v>EMP1087-10</v>
      </c>
      <c r="F972" s="60">
        <f>COUNTIF(tbl_performance[employee_month_key],tbl_performance[[#This Row],[employee_month_key]])</f>
        <v>1</v>
      </c>
      <c r="G972" s="61">
        <f>tbl_performance[[#This Row],[achieved]]/tbl_performance[[#This Row],[target]]</f>
        <v>0.96061743405402544</v>
      </c>
      <c r="H972" s="60" t="str" cm="1">
        <f t="array" ref="H97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73" spans="1:8" ht="19.8" x14ac:dyDescent="0.65">
      <c r="A973" s="58" t="s">
        <v>210</v>
      </c>
      <c r="B973" s="59">
        <v>45962</v>
      </c>
      <c r="C973" s="60">
        <v>55638</v>
      </c>
      <c r="D973" s="60">
        <v>51998</v>
      </c>
      <c r="E973" s="60" t="str">
        <f>tbl_performance[[#This Row],[employee_id]]&amp;"-"&amp;TEXT(tbl_performance[[#This Row],[month]],"mm")</f>
        <v>EMP1087-11</v>
      </c>
      <c r="F973" s="60">
        <f>COUNTIF(tbl_performance[employee_month_key],tbl_performance[[#This Row],[employee_month_key]])</f>
        <v>1</v>
      </c>
      <c r="G973" s="61">
        <f>tbl_performance[[#This Row],[achieved]]/tbl_performance[[#This Row],[target]]</f>
        <v>0.93457708760199865</v>
      </c>
      <c r="H973" s="60" t="str" cm="1">
        <f t="array" ref="H97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74" spans="1:8" ht="19.8" x14ac:dyDescent="0.65">
      <c r="A974" s="58" t="s">
        <v>210</v>
      </c>
      <c r="B974" s="59">
        <v>45992</v>
      </c>
      <c r="C974" s="60">
        <v>47292</v>
      </c>
      <c r="D974" s="60">
        <v>39957</v>
      </c>
      <c r="E974" s="60" t="str">
        <f>tbl_performance[[#This Row],[employee_id]]&amp;"-"&amp;TEXT(tbl_performance[[#This Row],[month]],"mm")</f>
        <v>EMP1087-12</v>
      </c>
      <c r="F974" s="60">
        <f>COUNTIF(tbl_performance[employee_month_key],tbl_performance[[#This Row],[employee_month_key]])</f>
        <v>1</v>
      </c>
      <c r="G974" s="61">
        <f>tbl_performance[[#This Row],[achieved]]/tbl_performance[[#This Row],[target]]</f>
        <v>0.8448997716315656</v>
      </c>
      <c r="H974" s="60" t="str" cm="1">
        <f t="array" ref="H974">_xlfn.IFS(tbl_performance[[#This Row],[performance_pct]]&gt;=1.1,"Excellent",tbl_performance[[#This Row],[performance_pct]]&gt;=1,"Good",tbl_performance[[#This Row],[performance_pct]]&gt;=0.85,"Average",TRUE,"Poor")</f>
        <v>Poor</v>
      </c>
    </row>
    <row r="975" spans="1:8" ht="19.8" x14ac:dyDescent="0.65">
      <c r="A975" s="58" t="s">
        <v>212</v>
      </c>
      <c r="B975" s="59">
        <v>45658</v>
      </c>
      <c r="C975" s="60">
        <v>46616</v>
      </c>
      <c r="D975" s="60">
        <v>38407</v>
      </c>
      <c r="E975" s="60" t="str">
        <f>tbl_performance[[#This Row],[employee_id]]&amp;"-"&amp;TEXT(tbl_performance[[#This Row],[month]],"mm")</f>
        <v>EMP1088-01</v>
      </c>
      <c r="F975" s="60">
        <f>COUNTIF(tbl_performance[employee_month_key],tbl_performance[[#This Row],[employee_month_key]])</f>
        <v>1</v>
      </c>
      <c r="G975" s="61">
        <f>tbl_performance[[#This Row],[achieved]]/tbl_performance[[#This Row],[target]]</f>
        <v>0.82390166466449288</v>
      </c>
      <c r="H975" s="60" t="str" cm="1">
        <f t="array" ref="H975">_xlfn.IFS(tbl_performance[[#This Row],[performance_pct]]&gt;=1.1,"Excellent",tbl_performance[[#This Row],[performance_pct]]&gt;=1,"Good",tbl_performance[[#This Row],[performance_pct]]&gt;=0.85,"Average",TRUE,"Poor")</f>
        <v>Poor</v>
      </c>
    </row>
    <row r="976" spans="1:8" ht="19.8" x14ac:dyDescent="0.65">
      <c r="A976" s="58" t="s">
        <v>212</v>
      </c>
      <c r="B976" s="59">
        <v>45689</v>
      </c>
      <c r="C976" s="60">
        <v>43353</v>
      </c>
      <c r="D976" s="60">
        <v>20674</v>
      </c>
      <c r="E976" s="60" t="str">
        <f>tbl_performance[[#This Row],[employee_id]]&amp;"-"&amp;TEXT(tbl_performance[[#This Row],[month]],"mm")</f>
        <v>EMP1088-02</v>
      </c>
      <c r="F976" s="60">
        <f>COUNTIF(tbl_performance[employee_month_key],tbl_performance[[#This Row],[employee_month_key]])</f>
        <v>1</v>
      </c>
      <c r="G976" s="61">
        <f>tbl_performance[[#This Row],[achieved]]/tbl_performance[[#This Row],[target]]</f>
        <v>0.47687587940857612</v>
      </c>
      <c r="H976" s="60" t="str" cm="1">
        <f t="array" ref="H976">_xlfn.IFS(tbl_performance[[#This Row],[performance_pct]]&gt;=1.1,"Excellent",tbl_performance[[#This Row],[performance_pct]]&gt;=1,"Good",tbl_performance[[#This Row],[performance_pct]]&gt;=0.85,"Average",TRUE,"Poor")</f>
        <v>Poor</v>
      </c>
    </row>
    <row r="977" spans="1:8" ht="19.8" x14ac:dyDescent="0.65">
      <c r="A977" s="58" t="s">
        <v>212</v>
      </c>
      <c r="B977" s="59">
        <v>45717</v>
      </c>
      <c r="C977" s="60">
        <v>47548</v>
      </c>
      <c r="D977" s="60">
        <v>22928</v>
      </c>
      <c r="E977" s="60" t="str">
        <f>tbl_performance[[#This Row],[employee_id]]&amp;"-"&amp;TEXT(tbl_performance[[#This Row],[month]],"mm")</f>
        <v>EMP1088-03</v>
      </c>
      <c r="F977" s="60">
        <f>COUNTIF(tbl_performance[employee_month_key],tbl_performance[[#This Row],[employee_month_key]])</f>
        <v>1</v>
      </c>
      <c r="G977" s="61">
        <f>tbl_performance[[#This Row],[achieved]]/tbl_performance[[#This Row],[target]]</f>
        <v>0.48220745352065281</v>
      </c>
      <c r="H977" s="60" t="str" cm="1">
        <f t="array" ref="H977">_xlfn.IFS(tbl_performance[[#This Row],[performance_pct]]&gt;=1.1,"Excellent",tbl_performance[[#This Row],[performance_pct]]&gt;=1,"Good",tbl_performance[[#This Row],[performance_pct]]&gt;=0.85,"Average",TRUE,"Poor")</f>
        <v>Poor</v>
      </c>
    </row>
    <row r="978" spans="1:8" ht="19.8" x14ac:dyDescent="0.65">
      <c r="A978" s="58" t="s">
        <v>212</v>
      </c>
      <c r="B978" s="59">
        <v>45748</v>
      </c>
      <c r="C978" s="60">
        <v>46616</v>
      </c>
      <c r="D978" s="60">
        <v>34964</v>
      </c>
      <c r="E978" s="60" t="str">
        <f>tbl_performance[[#This Row],[employee_id]]&amp;"-"&amp;TEXT(tbl_performance[[#This Row],[month]],"mm")</f>
        <v>EMP1088-04</v>
      </c>
      <c r="F978" s="60">
        <f>COUNTIF(tbl_performance[employee_month_key],tbl_performance[[#This Row],[employee_month_key]])</f>
        <v>1</v>
      </c>
      <c r="G978" s="61">
        <f>tbl_performance[[#This Row],[achieved]]/tbl_performance[[#This Row],[target]]</f>
        <v>0.75004290372404325</v>
      </c>
      <c r="H978" s="60" t="str" cm="1">
        <f t="array" ref="H978">_xlfn.IFS(tbl_performance[[#This Row],[performance_pct]]&gt;=1.1,"Excellent",tbl_performance[[#This Row],[performance_pct]]&gt;=1,"Good",tbl_performance[[#This Row],[performance_pct]]&gt;=0.85,"Average",TRUE,"Poor")</f>
        <v>Poor</v>
      </c>
    </row>
    <row r="979" spans="1:8" ht="19.8" x14ac:dyDescent="0.65">
      <c r="A979" s="58" t="s">
        <v>212</v>
      </c>
      <c r="B979" s="59">
        <v>45778</v>
      </c>
      <c r="C979" s="60">
        <v>46616</v>
      </c>
      <c r="D979" s="60">
        <v>41616</v>
      </c>
      <c r="E979" s="60" t="str">
        <f>tbl_performance[[#This Row],[employee_id]]&amp;"-"&amp;TEXT(tbl_performance[[#This Row],[month]],"mm")</f>
        <v>EMP1088-05</v>
      </c>
      <c r="F979" s="60">
        <f>COUNTIF(tbl_performance[employee_month_key],tbl_performance[[#This Row],[employee_month_key]])</f>
        <v>1</v>
      </c>
      <c r="G979" s="61">
        <f>tbl_performance[[#This Row],[achieved]]/tbl_performance[[#This Row],[target]]</f>
        <v>0.8927406898918826</v>
      </c>
      <c r="H979" s="60" t="str" cm="1">
        <f t="array" ref="H97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80" spans="1:8" ht="19.8" x14ac:dyDescent="0.65">
      <c r="A980" s="58" t="s">
        <v>212</v>
      </c>
      <c r="B980" s="59">
        <v>45809</v>
      </c>
      <c r="C980" s="60">
        <v>45684</v>
      </c>
      <c r="D980" s="60">
        <v>36009</v>
      </c>
      <c r="E980" s="60" t="str">
        <f>tbl_performance[[#This Row],[employee_id]]&amp;"-"&amp;TEXT(tbl_performance[[#This Row],[month]],"mm")</f>
        <v>EMP1088-06</v>
      </c>
      <c r="F980" s="60">
        <f>COUNTIF(tbl_performance[employee_month_key],tbl_performance[[#This Row],[employee_month_key]])</f>
        <v>1</v>
      </c>
      <c r="G980" s="61">
        <f>tbl_performance[[#This Row],[achieved]]/tbl_performance[[#This Row],[target]]</f>
        <v>0.78821907013396375</v>
      </c>
      <c r="H980" s="60" t="str" cm="1">
        <f t="array" ref="H980">_xlfn.IFS(tbl_performance[[#This Row],[performance_pct]]&gt;=1.1,"Excellent",tbl_performance[[#This Row],[performance_pct]]&gt;=1,"Good",tbl_performance[[#This Row],[performance_pct]]&gt;=0.85,"Average",TRUE,"Poor")</f>
        <v>Poor</v>
      </c>
    </row>
    <row r="981" spans="1:8" ht="19.8" x14ac:dyDescent="0.65">
      <c r="A981" s="58" t="s">
        <v>212</v>
      </c>
      <c r="B981" s="59">
        <v>45839</v>
      </c>
      <c r="C981" s="60">
        <v>46616</v>
      </c>
      <c r="D981" s="60">
        <v>32932</v>
      </c>
      <c r="E981" s="60" t="str">
        <f>tbl_performance[[#This Row],[employee_id]]&amp;"-"&amp;TEXT(tbl_performance[[#This Row],[month]],"mm")</f>
        <v>EMP1088-07</v>
      </c>
      <c r="F981" s="60">
        <f>COUNTIF(tbl_performance[employee_month_key],tbl_performance[[#This Row],[employee_month_key]])</f>
        <v>1</v>
      </c>
      <c r="G981" s="61">
        <f>tbl_performance[[#This Row],[achieved]]/tbl_performance[[#This Row],[target]]</f>
        <v>0.70645272009610438</v>
      </c>
      <c r="H981" s="60" t="str" cm="1">
        <f t="array" ref="H981">_xlfn.IFS(tbl_performance[[#This Row],[performance_pct]]&gt;=1.1,"Excellent",tbl_performance[[#This Row],[performance_pct]]&gt;=1,"Good",tbl_performance[[#This Row],[performance_pct]]&gt;=0.85,"Average",TRUE,"Poor")</f>
        <v>Poor</v>
      </c>
    </row>
    <row r="982" spans="1:8" ht="19.8" x14ac:dyDescent="0.65">
      <c r="A982" s="58" t="s">
        <v>212</v>
      </c>
      <c r="B982" s="59">
        <v>45870</v>
      </c>
      <c r="C982" s="60">
        <v>45218</v>
      </c>
      <c r="D982" s="60">
        <v>32084</v>
      </c>
      <c r="E982" s="60" t="str">
        <f>tbl_performance[[#This Row],[employee_id]]&amp;"-"&amp;TEXT(tbl_performance[[#This Row],[month]],"mm")</f>
        <v>EMP1088-08</v>
      </c>
      <c r="F982" s="60">
        <f>COUNTIF(tbl_performance[employee_month_key],tbl_performance[[#This Row],[employee_month_key]])</f>
        <v>1</v>
      </c>
      <c r="G982" s="61">
        <f>tbl_performance[[#This Row],[achieved]]/tbl_performance[[#This Row],[target]]</f>
        <v>0.70954044849396258</v>
      </c>
      <c r="H982" s="60" t="str" cm="1">
        <f t="array" ref="H982">_xlfn.IFS(tbl_performance[[#This Row],[performance_pct]]&gt;=1.1,"Excellent",tbl_performance[[#This Row],[performance_pct]]&gt;=1,"Good",tbl_performance[[#This Row],[performance_pct]]&gt;=0.85,"Average",TRUE,"Poor")</f>
        <v>Poor</v>
      </c>
    </row>
    <row r="983" spans="1:8" ht="19.8" x14ac:dyDescent="0.65">
      <c r="A983" s="58" t="s">
        <v>212</v>
      </c>
      <c r="B983" s="59">
        <v>45901</v>
      </c>
      <c r="C983" s="60">
        <v>46616</v>
      </c>
      <c r="D983" s="60">
        <v>34282</v>
      </c>
      <c r="E983" s="60" t="str">
        <f>tbl_performance[[#This Row],[employee_id]]&amp;"-"&amp;TEXT(tbl_performance[[#This Row],[month]],"mm")</f>
        <v>EMP1088-09</v>
      </c>
      <c r="F983" s="60">
        <f>COUNTIF(tbl_performance[employee_month_key],tbl_performance[[#This Row],[employee_month_key]])</f>
        <v>1</v>
      </c>
      <c r="G983" s="61">
        <f>tbl_performance[[#This Row],[achieved]]/tbl_performance[[#This Row],[target]]</f>
        <v>0.73541273382529604</v>
      </c>
      <c r="H983" s="60" t="str" cm="1">
        <f t="array" ref="H983">_xlfn.IFS(tbl_performance[[#This Row],[performance_pct]]&gt;=1.1,"Excellent",tbl_performance[[#This Row],[performance_pct]]&gt;=1,"Good",tbl_performance[[#This Row],[performance_pct]]&gt;=0.85,"Average",TRUE,"Poor")</f>
        <v>Poor</v>
      </c>
    </row>
    <row r="984" spans="1:8" ht="19.8" x14ac:dyDescent="0.65">
      <c r="A984" s="58" t="s">
        <v>212</v>
      </c>
      <c r="B984" s="59">
        <v>45931</v>
      </c>
      <c r="C984" s="60">
        <v>47548</v>
      </c>
      <c r="D984" s="60">
        <v>34518</v>
      </c>
      <c r="E984" s="60" t="str">
        <f>tbl_performance[[#This Row],[employee_id]]&amp;"-"&amp;TEXT(tbl_performance[[#This Row],[month]],"mm")</f>
        <v>EMP1088-10</v>
      </c>
      <c r="F984" s="60">
        <f>COUNTIF(tbl_performance[employee_month_key],tbl_performance[[#This Row],[employee_month_key]])</f>
        <v>1</v>
      </c>
      <c r="G984" s="61">
        <f>tbl_performance[[#This Row],[achieved]]/tbl_performance[[#This Row],[target]]</f>
        <v>0.72596113401194584</v>
      </c>
      <c r="H984" s="60" t="str" cm="1">
        <f t="array" ref="H984">_xlfn.IFS(tbl_performance[[#This Row],[performance_pct]]&gt;=1.1,"Excellent",tbl_performance[[#This Row],[performance_pct]]&gt;=1,"Good",tbl_performance[[#This Row],[performance_pct]]&gt;=0.85,"Average",TRUE,"Poor")</f>
        <v>Poor</v>
      </c>
    </row>
    <row r="985" spans="1:8" ht="19.8" x14ac:dyDescent="0.65">
      <c r="A985" s="58" t="s">
        <v>212</v>
      </c>
      <c r="B985" s="59">
        <v>45962</v>
      </c>
      <c r="C985" s="60">
        <v>46616</v>
      </c>
      <c r="D985" s="60">
        <v>36276</v>
      </c>
      <c r="E985" s="60" t="str">
        <f>tbl_performance[[#This Row],[employee_id]]&amp;"-"&amp;TEXT(tbl_performance[[#This Row],[month]],"mm")</f>
        <v>EMP1088-11</v>
      </c>
      <c r="F985" s="60">
        <f>COUNTIF(tbl_performance[employee_month_key],tbl_performance[[#This Row],[employee_month_key]])</f>
        <v>1</v>
      </c>
      <c r="G985" s="61">
        <f>tbl_performance[[#This Row],[achieved]]/tbl_performance[[#This Row],[target]]</f>
        <v>0.77818774669641322</v>
      </c>
      <c r="H985" s="60" t="str" cm="1">
        <f t="array" ref="H985">_xlfn.IFS(tbl_performance[[#This Row],[performance_pct]]&gt;=1.1,"Excellent",tbl_performance[[#This Row],[performance_pct]]&gt;=1,"Good",tbl_performance[[#This Row],[performance_pct]]&gt;=0.85,"Average",TRUE,"Poor")</f>
        <v>Poor</v>
      </c>
    </row>
    <row r="986" spans="1:8" ht="19.8" x14ac:dyDescent="0.65">
      <c r="A986" s="58" t="s">
        <v>212</v>
      </c>
      <c r="B986" s="59">
        <v>45992</v>
      </c>
      <c r="C986" s="60">
        <v>39624</v>
      </c>
      <c r="D986" s="60">
        <v>31719</v>
      </c>
      <c r="E986" s="60" t="str">
        <f>tbl_performance[[#This Row],[employee_id]]&amp;"-"&amp;TEXT(tbl_performance[[#This Row],[month]],"mm")</f>
        <v>EMP1088-12</v>
      </c>
      <c r="F986" s="60">
        <f>COUNTIF(tbl_performance[employee_month_key],tbl_performance[[#This Row],[employee_month_key]])</f>
        <v>1</v>
      </c>
      <c r="G986" s="61">
        <f>tbl_performance[[#This Row],[achieved]]/tbl_performance[[#This Row],[target]]</f>
        <v>0.80049969715324043</v>
      </c>
      <c r="H986" s="60" t="str" cm="1">
        <f t="array" ref="H986">_xlfn.IFS(tbl_performance[[#This Row],[performance_pct]]&gt;=1.1,"Excellent",tbl_performance[[#This Row],[performance_pct]]&gt;=1,"Good",tbl_performance[[#This Row],[performance_pct]]&gt;=0.85,"Average",TRUE,"Poor")</f>
        <v>Poor</v>
      </c>
    </row>
    <row r="987" spans="1:8" ht="19.8" x14ac:dyDescent="0.65">
      <c r="A987" s="58" t="s">
        <v>213</v>
      </c>
      <c r="B987" s="59">
        <v>45658</v>
      </c>
      <c r="C987" s="60">
        <v>21</v>
      </c>
      <c r="D987" s="60">
        <v>22</v>
      </c>
      <c r="E987" s="60" t="str">
        <f>tbl_performance[[#This Row],[employee_id]]&amp;"-"&amp;TEXT(tbl_performance[[#This Row],[month]],"mm")</f>
        <v>EMP1089-01</v>
      </c>
      <c r="F987" s="60">
        <f>COUNTIF(tbl_performance[employee_month_key],tbl_performance[[#This Row],[employee_month_key]])</f>
        <v>1</v>
      </c>
      <c r="G987" s="61">
        <f>tbl_performance[[#This Row],[achieved]]/tbl_performance[[#This Row],[target]]</f>
        <v>1.0476190476190477</v>
      </c>
      <c r="H987" s="60" t="str" cm="1">
        <f t="array" ref="H987">_xlfn.IFS(tbl_performance[[#This Row],[performance_pct]]&gt;=1.1,"Excellent",tbl_performance[[#This Row],[performance_pct]]&gt;=1,"Good",tbl_performance[[#This Row],[performance_pct]]&gt;=0.85,"Average",TRUE,"Poor")</f>
        <v>Good</v>
      </c>
    </row>
    <row r="988" spans="1:8" ht="19.8" x14ac:dyDescent="0.65">
      <c r="A988" s="58" t="s">
        <v>213</v>
      </c>
      <c r="B988" s="59">
        <v>45689</v>
      </c>
      <c r="C988" s="60">
        <v>20</v>
      </c>
      <c r="D988" s="60">
        <v>21</v>
      </c>
      <c r="E988" s="60" t="str">
        <f>tbl_performance[[#This Row],[employee_id]]&amp;"-"&amp;TEXT(tbl_performance[[#This Row],[month]],"mm")</f>
        <v>EMP1089-02</v>
      </c>
      <c r="F988" s="60">
        <f>COUNTIF(tbl_performance[employee_month_key],tbl_performance[[#This Row],[employee_month_key]])</f>
        <v>1</v>
      </c>
      <c r="G988" s="61">
        <f>tbl_performance[[#This Row],[achieved]]/tbl_performance[[#This Row],[target]]</f>
        <v>1.05</v>
      </c>
      <c r="H988" s="60" t="str" cm="1">
        <f t="array" ref="H988">_xlfn.IFS(tbl_performance[[#This Row],[performance_pct]]&gt;=1.1,"Excellent",tbl_performance[[#This Row],[performance_pct]]&gt;=1,"Good",tbl_performance[[#This Row],[performance_pct]]&gt;=0.85,"Average",TRUE,"Poor")</f>
        <v>Good</v>
      </c>
    </row>
    <row r="989" spans="1:8" ht="19.8" x14ac:dyDescent="0.65">
      <c r="A989" s="58" t="s">
        <v>213</v>
      </c>
      <c r="B989" s="59">
        <v>45717</v>
      </c>
      <c r="C989" s="60">
        <v>22</v>
      </c>
      <c r="D989" s="60">
        <v>21</v>
      </c>
      <c r="E989" s="60" t="str">
        <f>tbl_performance[[#This Row],[employee_id]]&amp;"-"&amp;TEXT(tbl_performance[[#This Row],[month]],"mm")</f>
        <v>EMP1089-03</v>
      </c>
      <c r="F989" s="60">
        <f>COUNTIF(tbl_performance[employee_month_key],tbl_performance[[#This Row],[employee_month_key]])</f>
        <v>1</v>
      </c>
      <c r="G989" s="61">
        <f>tbl_performance[[#This Row],[achieved]]/tbl_performance[[#This Row],[target]]</f>
        <v>0.95454545454545459</v>
      </c>
      <c r="H989" s="60" t="str" cm="1">
        <f t="array" ref="H9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90" spans="1:8" ht="19.8" x14ac:dyDescent="0.65">
      <c r="A990" s="58" t="s">
        <v>213</v>
      </c>
      <c r="B990" s="59">
        <v>45748</v>
      </c>
      <c r="C990" s="60">
        <v>21</v>
      </c>
      <c r="D990" s="60">
        <v>22</v>
      </c>
      <c r="E990" s="60" t="str">
        <f>tbl_performance[[#This Row],[employee_id]]&amp;"-"&amp;TEXT(tbl_performance[[#This Row],[month]],"mm")</f>
        <v>EMP1089-04</v>
      </c>
      <c r="F990" s="60">
        <f>COUNTIF(tbl_performance[employee_month_key],tbl_performance[[#This Row],[employee_month_key]])</f>
        <v>1</v>
      </c>
      <c r="G990" s="61">
        <f>tbl_performance[[#This Row],[achieved]]/tbl_performance[[#This Row],[target]]</f>
        <v>1.0476190476190477</v>
      </c>
      <c r="H990" s="60" t="str" cm="1">
        <f t="array" ref="H990">_xlfn.IFS(tbl_performance[[#This Row],[performance_pct]]&gt;=1.1,"Excellent",tbl_performance[[#This Row],[performance_pct]]&gt;=1,"Good",tbl_performance[[#This Row],[performance_pct]]&gt;=0.85,"Average",TRUE,"Poor")</f>
        <v>Good</v>
      </c>
    </row>
    <row r="991" spans="1:8" ht="19.8" x14ac:dyDescent="0.65">
      <c r="A991" s="58" t="s">
        <v>213</v>
      </c>
      <c r="B991" s="59">
        <v>45778</v>
      </c>
      <c r="C991" s="60">
        <v>21</v>
      </c>
      <c r="D991" s="60">
        <v>22</v>
      </c>
      <c r="E991" s="60" t="str">
        <f>tbl_performance[[#This Row],[employee_id]]&amp;"-"&amp;TEXT(tbl_performance[[#This Row],[month]],"mm")</f>
        <v>EMP1089-05</v>
      </c>
      <c r="F991" s="60">
        <f>COUNTIF(tbl_performance[employee_month_key],tbl_performance[[#This Row],[employee_month_key]])</f>
        <v>1</v>
      </c>
      <c r="G991" s="61">
        <f>tbl_performance[[#This Row],[achieved]]/tbl_performance[[#This Row],[target]]</f>
        <v>1.0476190476190477</v>
      </c>
      <c r="H991" s="60" t="str" cm="1">
        <f t="array" ref="H991">_xlfn.IFS(tbl_performance[[#This Row],[performance_pct]]&gt;=1.1,"Excellent",tbl_performance[[#This Row],[performance_pct]]&gt;=1,"Good",tbl_performance[[#This Row],[performance_pct]]&gt;=0.85,"Average",TRUE,"Poor")</f>
        <v>Good</v>
      </c>
    </row>
    <row r="992" spans="1:8" ht="19.8" x14ac:dyDescent="0.65">
      <c r="A992" s="58" t="s">
        <v>213</v>
      </c>
      <c r="B992" s="59">
        <v>45809</v>
      </c>
      <c r="C992" s="60">
        <v>21</v>
      </c>
      <c r="D992" s="60">
        <v>20</v>
      </c>
      <c r="E992" s="60" t="str">
        <f>tbl_performance[[#This Row],[employee_id]]&amp;"-"&amp;TEXT(tbl_performance[[#This Row],[month]],"mm")</f>
        <v>EMP1089-06</v>
      </c>
      <c r="F992" s="60">
        <f>COUNTIF(tbl_performance[employee_month_key],tbl_performance[[#This Row],[employee_month_key]])</f>
        <v>1</v>
      </c>
      <c r="G992" s="61">
        <f>tbl_performance[[#This Row],[achieved]]/tbl_performance[[#This Row],[target]]</f>
        <v>0.95238095238095233</v>
      </c>
      <c r="H992" s="60" t="str" cm="1">
        <f t="array" ref="H99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993" spans="1:8" ht="19.8" x14ac:dyDescent="0.65">
      <c r="A993" s="58" t="s">
        <v>213</v>
      </c>
      <c r="B993" s="59">
        <v>45839</v>
      </c>
      <c r="C993" s="60">
        <v>21</v>
      </c>
      <c r="D993" s="60">
        <v>22</v>
      </c>
      <c r="E993" s="60" t="str">
        <f>tbl_performance[[#This Row],[employee_id]]&amp;"-"&amp;TEXT(tbl_performance[[#This Row],[month]],"mm")</f>
        <v>EMP1089-07</v>
      </c>
      <c r="F993" s="60">
        <f>COUNTIF(tbl_performance[employee_month_key],tbl_performance[[#This Row],[employee_month_key]])</f>
        <v>1</v>
      </c>
      <c r="G993" s="61">
        <f>tbl_performance[[#This Row],[achieved]]/tbl_performance[[#This Row],[target]]</f>
        <v>1.0476190476190477</v>
      </c>
      <c r="H993" s="60" t="str" cm="1">
        <f t="array" ref="H993">_xlfn.IFS(tbl_performance[[#This Row],[performance_pct]]&gt;=1.1,"Excellent",tbl_performance[[#This Row],[performance_pct]]&gt;=1,"Good",tbl_performance[[#This Row],[performance_pct]]&gt;=0.85,"Average",TRUE,"Poor")</f>
        <v>Good</v>
      </c>
    </row>
    <row r="994" spans="1:8" ht="19.8" x14ac:dyDescent="0.65">
      <c r="A994" s="58" t="s">
        <v>213</v>
      </c>
      <c r="B994" s="59">
        <v>45870</v>
      </c>
      <c r="C994" s="60">
        <v>21</v>
      </c>
      <c r="D994" s="60">
        <v>23</v>
      </c>
      <c r="E994" s="60" t="str">
        <f>tbl_performance[[#This Row],[employee_id]]&amp;"-"&amp;TEXT(tbl_performance[[#This Row],[month]],"mm")</f>
        <v>EMP1089-08</v>
      </c>
      <c r="F994" s="60">
        <f>COUNTIF(tbl_performance[employee_month_key],tbl_performance[[#This Row],[employee_month_key]])</f>
        <v>1</v>
      </c>
      <c r="G994" s="61">
        <f>tbl_performance[[#This Row],[achieved]]/tbl_performance[[#This Row],[target]]</f>
        <v>1.0952380952380953</v>
      </c>
      <c r="H994" s="60" t="str" cm="1">
        <f t="array" ref="H994">_xlfn.IFS(tbl_performance[[#This Row],[performance_pct]]&gt;=1.1,"Excellent",tbl_performance[[#This Row],[performance_pct]]&gt;=1,"Good",tbl_performance[[#This Row],[performance_pct]]&gt;=0.85,"Average",TRUE,"Poor")</f>
        <v>Good</v>
      </c>
    </row>
    <row r="995" spans="1:8" ht="19.8" x14ac:dyDescent="0.65">
      <c r="A995" s="58" t="s">
        <v>213</v>
      </c>
      <c r="B995" s="59">
        <v>45901</v>
      </c>
      <c r="C995" s="60">
        <v>21</v>
      </c>
      <c r="D995" s="60">
        <v>22</v>
      </c>
      <c r="E995" s="60" t="str">
        <f>tbl_performance[[#This Row],[employee_id]]&amp;"-"&amp;TEXT(tbl_performance[[#This Row],[month]],"mm")</f>
        <v>EMP1089-09</v>
      </c>
      <c r="F995" s="60">
        <f>COUNTIF(tbl_performance[employee_month_key],tbl_performance[[#This Row],[employee_month_key]])</f>
        <v>1</v>
      </c>
      <c r="G995" s="61">
        <f>tbl_performance[[#This Row],[achieved]]/tbl_performance[[#This Row],[target]]</f>
        <v>1.0476190476190477</v>
      </c>
      <c r="H995" s="60" t="str" cm="1">
        <f t="array" ref="H995">_xlfn.IFS(tbl_performance[[#This Row],[performance_pct]]&gt;=1.1,"Excellent",tbl_performance[[#This Row],[performance_pct]]&gt;=1,"Good",tbl_performance[[#This Row],[performance_pct]]&gt;=0.85,"Average",TRUE,"Poor")</f>
        <v>Good</v>
      </c>
    </row>
    <row r="996" spans="1:8" ht="19.8" x14ac:dyDescent="0.65">
      <c r="A996" s="58" t="s">
        <v>213</v>
      </c>
      <c r="B996" s="59">
        <v>45931</v>
      </c>
      <c r="C996" s="60">
        <v>22</v>
      </c>
      <c r="D996" s="60">
        <v>22</v>
      </c>
      <c r="E996" s="60" t="str">
        <f>tbl_performance[[#This Row],[employee_id]]&amp;"-"&amp;TEXT(tbl_performance[[#This Row],[month]],"mm")</f>
        <v>EMP1089-10</v>
      </c>
      <c r="F996" s="60">
        <f>COUNTIF(tbl_performance[employee_month_key],tbl_performance[[#This Row],[employee_month_key]])</f>
        <v>1</v>
      </c>
      <c r="G996" s="61">
        <f>tbl_performance[[#This Row],[achieved]]/tbl_performance[[#This Row],[target]]</f>
        <v>1</v>
      </c>
      <c r="H996" s="60" t="str" cm="1">
        <f t="array" ref="H996">_xlfn.IFS(tbl_performance[[#This Row],[performance_pct]]&gt;=1.1,"Excellent",tbl_performance[[#This Row],[performance_pct]]&gt;=1,"Good",tbl_performance[[#This Row],[performance_pct]]&gt;=0.85,"Average",TRUE,"Poor")</f>
        <v>Good</v>
      </c>
    </row>
    <row r="997" spans="1:8" ht="19.8" x14ac:dyDescent="0.65">
      <c r="A997" s="58" t="s">
        <v>213</v>
      </c>
      <c r="B997" s="59">
        <v>45962</v>
      </c>
      <c r="C997" s="60">
        <v>21</v>
      </c>
      <c r="D997" s="60">
        <v>22</v>
      </c>
      <c r="E997" s="60" t="str">
        <f>tbl_performance[[#This Row],[employee_id]]&amp;"-"&amp;TEXT(tbl_performance[[#This Row],[month]],"mm")</f>
        <v>EMP1089-11</v>
      </c>
      <c r="F997" s="60">
        <f>COUNTIF(tbl_performance[employee_month_key],tbl_performance[[#This Row],[employee_month_key]])</f>
        <v>1</v>
      </c>
      <c r="G997" s="61">
        <f>tbl_performance[[#This Row],[achieved]]/tbl_performance[[#This Row],[target]]</f>
        <v>1.0476190476190477</v>
      </c>
      <c r="H997" s="60" t="str" cm="1">
        <f t="array" ref="H997">_xlfn.IFS(tbl_performance[[#This Row],[performance_pct]]&gt;=1.1,"Excellent",tbl_performance[[#This Row],[performance_pct]]&gt;=1,"Good",tbl_performance[[#This Row],[performance_pct]]&gt;=0.85,"Average",TRUE,"Poor")</f>
        <v>Good</v>
      </c>
    </row>
    <row r="998" spans="1:8" ht="19.8" x14ac:dyDescent="0.65">
      <c r="A998" s="58" t="s">
        <v>213</v>
      </c>
      <c r="B998" s="59">
        <v>45992</v>
      </c>
      <c r="C998" s="60">
        <v>18</v>
      </c>
      <c r="D998" s="60">
        <v>18</v>
      </c>
      <c r="E998" s="60" t="str">
        <f>tbl_performance[[#This Row],[employee_id]]&amp;"-"&amp;TEXT(tbl_performance[[#This Row],[month]],"mm")</f>
        <v>EMP1089-12</v>
      </c>
      <c r="F998" s="60">
        <f>COUNTIF(tbl_performance[employee_month_key],tbl_performance[[#This Row],[employee_month_key]])</f>
        <v>1</v>
      </c>
      <c r="G998" s="61">
        <f>tbl_performance[[#This Row],[achieved]]/tbl_performance[[#This Row],[target]]</f>
        <v>1</v>
      </c>
      <c r="H998" s="60" t="str" cm="1">
        <f t="array" ref="H998">_xlfn.IFS(tbl_performance[[#This Row],[performance_pct]]&gt;=1.1,"Excellent",tbl_performance[[#This Row],[performance_pct]]&gt;=1,"Good",tbl_performance[[#This Row],[performance_pct]]&gt;=0.85,"Average",TRUE,"Poor")</f>
        <v>Good</v>
      </c>
    </row>
    <row r="999" spans="1:8" ht="19.8" x14ac:dyDescent="0.65">
      <c r="A999" s="58" t="s">
        <v>215</v>
      </c>
      <c r="B999" s="59">
        <v>45658</v>
      </c>
      <c r="C999" s="60">
        <v>62196</v>
      </c>
      <c r="D999" s="60">
        <v>47245</v>
      </c>
      <c r="E999" s="60" t="str">
        <f>tbl_performance[[#This Row],[employee_id]]&amp;"-"&amp;TEXT(tbl_performance[[#This Row],[month]],"mm")</f>
        <v>EMP1090-01</v>
      </c>
      <c r="F999" s="60">
        <f>COUNTIF(tbl_performance[employee_month_key],tbl_performance[[#This Row],[employee_month_key]])</f>
        <v>1</v>
      </c>
      <c r="G999" s="61">
        <f>tbl_performance[[#This Row],[achieved]]/tbl_performance[[#This Row],[target]]</f>
        <v>0.75961476622290824</v>
      </c>
      <c r="H999" s="60" t="str" cm="1">
        <f t="array" ref="H999">_xlfn.IFS(tbl_performance[[#This Row],[performance_pct]]&gt;=1.1,"Excellent",tbl_performance[[#This Row],[performance_pct]]&gt;=1,"Good",tbl_performance[[#This Row],[performance_pct]]&gt;=0.85,"Average",TRUE,"Poor")</f>
        <v>Poor</v>
      </c>
    </row>
    <row r="1000" spans="1:8" ht="19.8" x14ac:dyDescent="0.65">
      <c r="A1000" s="58" t="s">
        <v>215</v>
      </c>
      <c r="B1000" s="59">
        <v>45689</v>
      </c>
      <c r="C1000" s="60">
        <v>57842</v>
      </c>
      <c r="D1000" s="60">
        <v>49577</v>
      </c>
      <c r="E1000" s="60" t="str">
        <f>tbl_performance[[#This Row],[employee_id]]&amp;"-"&amp;TEXT(tbl_performance[[#This Row],[month]],"mm")</f>
        <v>EMP1090-02</v>
      </c>
      <c r="F1000" s="60">
        <f>COUNTIF(tbl_performance[employee_month_key],tbl_performance[[#This Row],[employee_month_key]])</f>
        <v>1</v>
      </c>
      <c r="G1000" s="61">
        <f>tbl_performance[[#This Row],[achieved]]/tbl_performance[[#This Row],[target]]</f>
        <v>0.85711074997406733</v>
      </c>
      <c r="H1000" s="60" t="str" cm="1">
        <f t="array" ref="H100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01" spans="1:8" ht="19.8" x14ac:dyDescent="0.65">
      <c r="A1001" s="58" t="s">
        <v>215</v>
      </c>
      <c r="B1001" s="59">
        <v>45717</v>
      </c>
      <c r="C1001" s="60">
        <v>63440</v>
      </c>
      <c r="D1001" s="60">
        <v>46645</v>
      </c>
      <c r="E1001" s="60" t="str">
        <f>tbl_performance[[#This Row],[employee_id]]&amp;"-"&amp;TEXT(tbl_performance[[#This Row],[month]],"mm")</f>
        <v>EMP1090-03</v>
      </c>
      <c r="F1001" s="60">
        <f>COUNTIF(tbl_performance[employee_month_key],tbl_performance[[#This Row],[employee_month_key]])</f>
        <v>1</v>
      </c>
      <c r="G1001" s="61">
        <f>tbl_performance[[#This Row],[achieved]]/tbl_performance[[#This Row],[target]]</f>
        <v>0.73526166456494324</v>
      </c>
      <c r="H1001" s="60" t="str" cm="1">
        <f t="array" ref="H1001">_xlfn.IFS(tbl_performance[[#This Row],[performance_pct]]&gt;=1.1,"Excellent",tbl_performance[[#This Row],[performance_pct]]&gt;=1,"Good",tbl_performance[[#This Row],[performance_pct]]&gt;=0.85,"Average",TRUE,"Poor")</f>
        <v>Poor</v>
      </c>
    </row>
    <row r="1002" spans="1:8" ht="19.8" x14ac:dyDescent="0.65">
      <c r="A1002" s="58" t="s">
        <v>215</v>
      </c>
      <c r="B1002" s="59">
        <v>45748</v>
      </c>
      <c r="C1002" s="60">
        <v>62196</v>
      </c>
      <c r="D1002" s="60">
        <v>52409</v>
      </c>
      <c r="E1002" s="60" t="str">
        <f>tbl_performance[[#This Row],[employee_id]]&amp;"-"&amp;TEXT(tbl_performance[[#This Row],[month]],"mm")</f>
        <v>EMP1090-04</v>
      </c>
      <c r="F1002" s="60">
        <f>COUNTIF(tbl_performance[employee_month_key],tbl_performance[[#This Row],[employee_month_key]])</f>
        <v>1</v>
      </c>
      <c r="G1002" s="61">
        <f>tbl_performance[[#This Row],[achieved]]/tbl_performance[[#This Row],[target]]</f>
        <v>0.84264261367290505</v>
      </c>
      <c r="H1002" s="60" t="str" cm="1">
        <f t="array" ref="H1002">_xlfn.IFS(tbl_performance[[#This Row],[performance_pct]]&gt;=1.1,"Excellent",tbl_performance[[#This Row],[performance_pct]]&gt;=1,"Good",tbl_performance[[#This Row],[performance_pct]]&gt;=0.85,"Average",TRUE,"Poor")</f>
        <v>Poor</v>
      </c>
    </row>
    <row r="1003" spans="1:8" ht="19.8" x14ac:dyDescent="0.65">
      <c r="A1003" s="58" t="s">
        <v>215</v>
      </c>
      <c r="B1003" s="59">
        <v>45778</v>
      </c>
      <c r="C1003" s="60">
        <v>62196</v>
      </c>
      <c r="D1003" s="60">
        <v>43456</v>
      </c>
      <c r="E1003" s="60" t="str">
        <f>tbl_performance[[#This Row],[employee_id]]&amp;"-"&amp;TEXT(tbl_performance[[#This Row],[month]],"mm")</f>
        <v>EMP1090-05</v>
      </c>
      <c r="F1003" s="60">
        <f>COUNTIF(tbl_performance[employee_month_key],tbl_performance[[#This Row],[employee_month_key]])</f>
        <v>1</v>
      </c>
      <c r="G1003" s="61">
        <f>tbl_performance[[#This Row],[achieved]]/tbl_performance[[#This Row],[target]]</f>
        <v>0.69869444980384587</v>
      </c>
      <c r="H1003" s="60" t="str" cm="1">
        <f t="array" ref="H1003">_xlfn.IFS(tbl_performance[[#This Row],[performance_pct]]&gt;=1.1,"Excellent",tbl_performance[[#This Row],[performance_pct]]&gt;=1,"Good",tbl_performance[[#This Row],[performance_pct]]&gt;=0.85,"Average",TRUE,"Poor")</f>
        <v>Poor</v>
      </c>
    </row>
    <row r="1004" spans="1:8" ht="19.8" x14ac:dyDescent="0.65">
      <c r="A1004" s="58" t="s">
        <v>215</v>
      </c>
      <c r="B1004" s="59">
        <v>45809</v>
      </c>
      <c r="C1004" s="60">
        <v>60952</v>
      </c>
      <c r="D1004" s="60">
        <v>47053</v>
      </c>
      <c r="E1004" s="60" t="str">
        <f>tbl_performance[[#This Row],[employee_id]]&amp;"-"&amp;TEXT(tbl_performance[[#This Row],[month]],"mm")</f>
        <v>EMP1090-06</v>
      </c>
      <c r="F1004" s="60">
        <f>COUNTIF(tbl_performance[employee_month_key],tbl_performance[[#This Row],[employee_month_key]])</f>
        <v>1</v>
      </c>
      <c r="G1004" s="61">
        <f>tbl_performance[[#This Row],[achieved]]/tbl_performance[[#This Row],[target]]</f>
        <v>0.77196810605066279</v>
      </c>
      <c r="H1004" s="60" t="str" cm="1">
        <f t="array" ref="H1004">_xlfn.IFS(tbl_performance[[#This Row],[performance_pct]]&gt;=1.1,"Excellent",tbl_performance[[#This Row],[performance_pct]]&gt;=1,"Good",tbl_performance[[#This Row],[performance_pct]]&gt;=0.85,"Average",TRUE,"Poor")</f>
        <v>Poor</v>
      </c>
    </row>
    <row r="1005" spans="1:8" ht="19.8" x14ac:dyDescent="0.65">
      <c r="A1005" s="58" t="s">
        <v>215</v>
      </c>
      <c r="B1005" s="59">
        <v>45839</v>
      </c>
      <c r="C1005" s="60">
        <v>62196</v>
      </c>
      <c r="D1005" s="60">
        <v>53742</v>
      </c>
      <c r="E1005" s="60" t="str">
        <f>tbl_performance[[#This Row],[employee_id]]&amp;"-"&amp;TEXT(tbl_performance[[#This Row],[month]],"mm")</f>
        <v>EMP1090-07</v>
      </c>
      <c r="F1005" s="60">
        <f>COUNTIF(tbl_performance[employee_month_key],tbl_performance[[#This Row],[employee_month_key]])</f>
        <v>1</v>
      </c>
      <c r="G1005" s="61">
        <f>tbl_performance[[#This Row],[achieved]]/tbl_performance[[#This Row],[target]]</f>
        <v>0.86407486011962187</v>
      </c>
      <c r="H1005" s="60" t="str" cm="1">
        <f t="array" ref="H100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06" spans="1:8" ht="19.8" x14ac:dyDescent="0.65">
      <c r="A1006" s="58" t="s">
        <v>215</v>
      </c>
      <c r="B1006" s="59">
        <v>45870</v>
      </c>
      <c r="C1006" s="60">
        <v>60330</v>
      </c>
      <c r="D1006" s="60">
        <v>40590</v>
      </c>
      <c r="E1006" s="60" t="str">
        <f>tbl_performance[[#This Row],[employee_id]]&amp;"-"&amp;TEXT(tbl_performance[[#This Row],[month]],"mm")</f>
        <v>EMP1090-08</v>
      </c>
      <c r="F1006" s="60">
        <f>COUNTIF(tbl_performance[employee_month_key],tbl_performance[[#This Row],[employee_month_key]])</f>
        <v>1</v>
      </c>
      <c r="G1006" s="61">
        <f>tbl_performance[[#This Row],[achieved]]/tbl_performance[[#This Row],[target]]</f>
        <v>0.67279960218796619</v>
      </c>
      <c r="H1006" s="60" t="str" cm="1">
        <f t="array" ref="H1006">_xlfn.IFS(tbl_performance[[#This Row],[performance_pct]]&gt;=1.1,"Excellent",tbl_performance[[#This Row],[performance_pct]]&gt;=1,"Good",tbl_performance[[#This Row],[performance_pct]]&gt;=0.85,"Average",TRUE,"Poor")</f>
        <v>Poor</v>
      </c>
    </row>
    <row r="1007" spans="1:8" ht="19.8" x14ac:dyDescent="0.65">
      <c r="A1007" s="58" t="s">
        <v>215</v>
      </c>
      <c r="B1007" s="59">
        <v>45901</v>
      </c>
      <c r="C1007" s="60">
        <v>62196</v>
      </c>
      <c r="D1007" s="60">
        <v>54493</v>
      </c>
      <c r="E1007" s="60" t="str">
        <f>tbl_performance[[#This Row],[employee_id]]&amp;"-"&amp;TEXT(tbl_performance[[#This Row],[month]],"mm")</f>
        <v>EMP1090-09</v>
      </c>
      <c r="F1007" s="60">
        <f>COUNTIF(tbl_performance[employee_month_key],tbl_performance[[#This Row],[employee_month_key]])</f>
        <v>1</v>
      </c>
      <c r="G1007" s="61">
        <f>tbl_performance[[#This Row],[achieved]]/tbl_performance[[#This Row],[target]]</f>
        <v>0.87614959161360861</v>
      </c>
      <c r="H1007" s="60" t="str" cm="1">
        <f t="array" ref="H100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08" spans="1:8" ht="19.8" x14ac:dyDescent="0.65">
      <c r="A1008" s="58" t="s">
        <v>215</v>
      </c>
      <c r="B1008" s="59">
        <v>45931</v>
      </c>
      <c r="C1008" s="60">
        <v>63440</v>
      </c>
      <c r="D1008" s="60">
        <v>52664</v>
      </c>
      <c r="E1008" s="60" t="str">
        <f>tbl_performance[[#This Row],[employee_id]]&amp;"-"&amp;TEXT(tbl_performance[[#This Row],[month]],"mm")</f>
        <v>EMP1090-10</v>
      </c>
      <c r="F1008" s="60">
        <f>COUNTIF(tbl_performance[employee_month_key],tbl_performance[[#This Row],[employee_month_key]])</f>
        <v>1</v>
      </c>
      <c r="G1008" s="61">
        <f>tbl_performance[[#This Row],[achieved]]/tbl_performance[[#This Row],[target]]</f>
        <v>0.83013871374527115</v>
      </c>
      <c r="H1008" s="60" t="str" cm="1">
        <f t="array" ref="H1008">_xlfn.IFS(tbl_performance[[#This Row],[performance_pct]]&gt;=1.1,"Excellent",tbl_performance[[#This Row],[performance_pct]]&gt;=1,"Good",tbl_performance[[#This Row],[performance_pct]]&gt;=0.85,"Average",TRUE,"Poor")</f>
        <v>Poor</v>
      </c>
    </row>
    <row r="1009" spans="1:8" ht="19.8" x14ac:dyDescent="0.65">
      <c r="A1009" s="58" t="s">
        <v>215</v>
      </c>
      <c r="B1009" s="59">
        <v>45962</v>
      </c>
      <c r="C1009" s="60">
        <v>62196</v>
      </c>
      <c r="D1009" s="60">
        <v>61409</v>
      </c>
      <c r="E1009" s="60" t="str">
        <f>tbl_performance[[#This Row],[employee_id]]&amp;"-"&amp;TEXT(tbl_performance[[#This Row],[month]],"mm")</f>
        <v>EMP1090-11</v>
      </c>
      <c r="F1009" s="60">
        <f>COUNTIF(tbl_performance[employee_month_key],tbl_performance[[#This Row],[employee_month_key]])</f>
        <v>1</v>
      </c>
      <c r="G1009" s="61">
        <f>tbl_performance[[#This Row],[achieved]]/tbl_performance[[#This Row],[target]]</f>
        <v>0.98734645314811242</v>
      </c>
      <c r="H1009" s="60" t="str" cm="1">
        <f t="array" ref="H100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0" spans="1:8" ht="19.8" x14ac:dyDescent="0.65">
      <c r="A1010" s="58" t="s">
        <v>215</v>
      </c>
      <c r="B1010" s="59">
        <v>45992</v>
      </c>
      <c r="C1010" s="60">
        <v>52867</v>
      </c>
      <c r="D1010" s="60">
        <v>52576</v>
      </c>
      <c r="E1010" s="60" t="str">
        <f>tbl_performance[[#This Row],[employee_id]]&amp;"-"&amp;TEXT(tbl_performance[[#This Row],[month]],"mm")</f>
        <v>EMP1090-12</v>
      </c>
      <c r="F1010" s="60">
        <f>COUNTIF(tbl_performance[employee_month_key],tbl_performance[[#This Row],[employee_month_key]])</f>
        <v>1</v>
      </c>
      <c r="G1010" s="61">
        <f>tbl_performance[[#This Row],[achieved]]/tbl_performance[[#This Row],[target]]</f>
        <v>0.99449562108687839</v>
      </c>
      <c r="H1010" s="60" t="str" cm="1">
        <f t="array" ref="H101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1" spans="1:8" ht="19.8" x14ac:dyDescent="0.65">
      <c r="A1011" s="58" t="s">
        <v>217</v>
      </c>
      <c r="B1011" s="59">
        <v>45658</v>
      </c>
      <c r="C1011" s="60">
        <v>235</v>
      </c>
      <c r="D1011" s="60">
        <v>230</v>
      </c>
      <c r="E1011" s="60" t="str">
        <f>tbl_performance[[#This Row],[employee_id]]&amp;"-"&amp;TEXT(tbl_performance[[#This Row],[month]],"mm")</f>
        <v>EMP1091-01</v>
      </c>
      <c r="F1011" s="60">
        <f>COUNTIF(tbl_performance[employee_month_key],tbl_performance[[#This Row],[employee_month_key]])</f>
        <v>1</v>
      </c>
      <c r="G1011" s="61">
        <f>tbl_performance[[#This Row],[achieved]]/tbl_performance[[#This Row],[target]]</f>
        <v>0.97872340425531912</v>
      </c>
      <c r="H1011" s="60" t="str" cm="1">
        <f t="array" ref="H101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2" spans="1:8" ht="19.8" x14ac:dyDescent="0.65">
      <c r="A1012" s="58" t="s">
        <v>217</v>
      </c>
      <c r="B1012" s="59">
        <v>45689</v>
      </c>
      <c r="C1012" s="60">
        <v>219</v>
      </c>
      <c r="D1012" s="60">
        <v>207</v>
      </c>
      <c r="E1012" s="60" t="str">
        <f>tbl_performance[[#This Row],[employee_id]]&amp;"-"&amp;TEXT(tbl_performance[[#This Row],[month]],"mm")</f>
        <v>EMP1091-02</v>
      </c>
      <c r="F1012" s="60">
        <f>COUNTIF(tbl_performance[employee_month_key],tbl_performance[[#This Row],[employee_month_key]])</f>
        <v>1</v>
      </c>
      <c r="G1012" s="61">
        <f>tbl_performance[[#This Row],[achieved]]/tbl_performance[[#This Row],[target]]</f>
        <v>0.9452054794520548</v>
      </c>
      <c r="H1012" s="60" t="str" cm="1">
        <f t="array" ref="H101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3" spans="1:8" ht="19.8" x14ac:dyDescent="0.65">
      <c r="A1013" s="58" t="s">
        <v>217</v>
      </c>
      <c r="B1013" s="59">
        <v>45717</v>
      </c>
      <c r="C1013" s="60">
        <v>240</v>
      </c>
      <c r="D1013" s="60">
        <v>235</v>
      </c>
      <c r="E1013" s="60" t="str">
        <f>tbl_performance[[#This Row],[employee_id]]&amp;"-"&amp;TEXT(tbl_performance[[#This Row],[month]],"mm")</f>
        <v>EMP1091-03</v>
      </c>
      <c r="F1013" s="60">
        <f>COUNTIF(tbl_performance[employee_month_key],tbl_performance[[#This Row],[employee_month_key]])</f>
        <v>1</v>
      </c>
      <c r="G1013" s="61">
        <f>tbl_performance[[#This Row],[achieved]]/tbl_performance[[#This Row],[target]]</f>
        <v>0.97916666666666663</v>
      </c>
      <c r="H1013" s="60" t="str" cm="1">
        <f t="array" ref="H101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4" spans="1:8" ht="19.8" x14ac:dyDescent="0.65">
      <c r="A1014" s="58" t="s">
        <v>217</v>
      </c>
      <c r="B1014" s="59">
        <v>45748</v>
      </c>
      <c r="C1014" s="60">
        <v>235</v>
      </c>
      <c r="D1014" s="60">
        <v>236</v>
      </c>
      <c r="E1014" s="60" t="str">
        <f>tbl_performance[[#This Row],[employee_id]]&amp;"-"&amp;TEXT(tbl_performance[[#This Row],[month]],"mm")</f>
        <v>EMP1091-04</v>
      </c>
      <c r="F1014" s="60">
        <f>COUNTIF(tbl_performance[employee_month_key],tbl_performance[[#This Row],[employee_month_key]])</f>
        <v>1</v>
      </c>
      <c r="G1014" s="61">
        <f>tbl_performance[[#This Row],[achieved]]/tbl_performance[[#This Row],[target]]</f>
        <v>1.0042553191489361</v>
      </c>
      <c r="H1014" s="60" t="str" cm="1">
        <f t="array" ref="H1014">_xlfn.IFS(tbl_performance[[#This Row],[performance_pct]]&gt;=1.1,"Excellent",tbl_performance[[#This Row],[performance_pct]]&gt;=1,"Good",tbl_performance[[#This Row],[performance_pct]]&gt;=0.85,"Average",TRUE,"Poor")</f>
        <v>Good</v>
      </c>
    </row>
    <row r="1015" spans="1:8" ht="19.8" x14ac:dyDescent="0.65">
      <c r="A1015" s="58" t="s">
        <v>217</v>
      </c>
      <c r="B1015" s="59">
        <v>45778</v>
      </c>
      <c r="C1015" s="60">
        <v>235</v>
      </c>
      <c r="D1015" s="60">
        <v>229</v>
      </c>
      <c r="E1015" s="60" t="str">
        <f>tbl_performance[[#This Row],[employee_id]]&amp;"-"&amp;TEXT(tbl_performance[[#This Row],[month]],"mm")</f>
        <v>EMP1091-05</v>
      </c>
      <c r="F1015" s="60">
        <f>COUNTIF(tbl_performance[employee_month_key],tbl_performance[[#This Row],[employee_month_key]])</f>
        <v>1</v>
      </c>
      <c r="G1015" s="61">
        <f>tbl_performance[[#This Row],[achieved]]/tbl_performance[[#This Row],[target]]</f>
        <v>0.97446808510638294</v>
      </c>
      <c r="H1015" s="60" t="str" cm="1">
        <f t="array" ref="H101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6" spans="1:8" ht="19.8" x14ac:dyDescent="0.65">
      <c r="A1016" s="58" t="s">
        <v>217</v>
      </c>
      <c r="B1016" s="59">
        <v>45809</v>
      </c>
      <c r="C1016" s="60">
        <v>230</v>
      </c>
      <c r="D1016" s="60">
        <v>225</v>
      </c>
      <c r="E1016" s="60" t="str">
        <f>tbl_performance[[#This Row],[employee_id]]&amp;"-"&amp;TEXT(tbl_performance[[#This Row],[month]],"mm")</f>
        <v>EMP1091-06</v>
      </c>
      <c r="F1016" s="60">
        <f>COUNTIF(tbl_performance[employee_month_key],tbl_performance[[#This Row],[employee_month_key]])</f>
        <v>1</v>
      </c>
      <c r="G1016" s="61">
        <f>tbl_performance[[#This Row],[achieved]]/tbl_performance[[#This Row],[target]]</f>
        <v>0.97826086956521741</v>
      </c>
      <c r="H1016" s="60" t="str" cm="1">
        <f t="array" ref="H101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7" spans="1:8" ht="19.8" x14ac:dyDescent="0.65">
      <c r="A1017" s="58" t="s">
        <v>217</v>
      </c>
      <c r="B1017" s="59">
        <v>45839</v>
      </c>
      <c r="C1017" s="60">
        <v>235</v>
      </c>
      <c r="D1017" s="60">
        <v>196</v>
      </c>
      <c r="E1017" s="60" t="str">
        <f>tbl_performance[[#This Row],[employee_id]]&amp;"-"&amp;TEXT(tbl_performance[[#This Row],[month]],"mm")</f>
        <v>EMP1091-07</v>
      </c>
      <c r="F1017" s="60">
        <f>COUNTIF(tbl_performance[employee_month_key],tbl_performance[[#This Row],[employee_month_key]])</f>
        <v>1</v>
      </c>
      <c r="G1017" s="61">
        <f>tbl_performance[[#This Row],[achieved]]/tbl_performance[[#This Row],[target]]</f>
        <v>0.83404255319148934</v>
      </c>
      <c r="H1017" s="60" t="str" cm="1">
        <f t="array" ref="H1017">_xlfn.IFS(tbl_performance[[#This Row],[performance_pct]]&gt;=1.1,"Excellent",tbl_performance[[#This Row],[performance_pct]]&gt;=1,"Good",tbl_performance[[#This Row],[performance_pct]]&gt;=0.85,"Average",TRUE,"Poor")</f>
        <v>Poor</v>
      </c>
    </row>
    <row r="1018" spans="1:8" ht="19.8" x14ac:dyDescent="0.65">
      <c r="A1018" s="58" t="s">
        <v>217</v>
      </c>
      <c r="B1018" s="59">
        <v>45870</v>
      </c>
      <c r="C1018" s="60">
        <v>228</v>
      </c>
      <c r="D1018" s="60">
        <v>195</v>
      </c>
      <c r="E1018" s="60" t="str">
        <f>tbl_performance[[#This Row],[employee_id]]&amp;"-"&amp;TEXT(tbl_performance[[#This Row],[month]],"mm")</f>
        <v>EMP1091-08</v>
      </c>
      <c r="F1018" s="60">
        <f>COUNTIF(tbl_performance[employee_month_key],tbl_performance[[#This Row],[employee_month_key]])</f>
        <v>1</v>
      </c>
      <c r="G1018" s="61">
        <f>tbl_performance[[#This Row],[achieved]]/tbl_performance[[#This Row],[target]]</f>
        <v>0.85526315789473684</v>
      </c>
      <c r="H1018" s="60" t="str" cm="1">
        <f t="array" ref="H101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19" spans="1:8" ht="19.8" x14ac:dyDescent="0.65">
      <c r="A1019" s="58" t="s">
        <v>217</v>
      </c>
      <c r="B1019" s="59">
        <v>45901</v>
      </c>
      <c r="C1019" s="60">
        <v>235</v>
      </c>
      <c r="D1019" s="60">
        <v>210</v>
      </c>
      <c r="E1019" s="60" t="str">
        <f>tbl_performance[[#This Row],[employee_id]]&amp;"-"&amp;TEXT(tbl_performance[[#This Row],[month]],"mm")</f>
        <v>EMP1091-09</v>
      </c>
      <c r="F1019" s="60">
        <f>COUNTIF(tbl_performance[employee_month_key],tbl_performance[[#This Row],[employee_month_key]])</f>
        <v>1</v>
      </c>
      <c r="G1019" s="61">
        <f>tbl_performance[[#This Row],[achieved]]/tbl_performance[[#This Row],[target]]</f>
        <v>0.8936170212765957</v>
      </c>
      <c r="H1019" s="60" t="str" cm="1">
        <f t="array" ref="H101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20" spans="1:8" ht="19.8" x14ac:dyDescent="0.65">
      <c r="A1020" s="58" t="s">
        <v>217</v>
      </c>
      <c r="B1020" s="59">
        <v>45931</v>
      </c>
      <c r="C1020" s="60">
        <v>240</v>
      </c>
      <c r="D1020" s="60">
        <v>260</v>
      </c>
      <c r="E1020" s="60" t="str">
        <f>tbl_performance[[#This Row],[employee_id]]&amp;"-"&amp;TEXT(tbl_performance[[#This Row],[month]],"mm")</f>
        <v>EMP1091-10</v>
      </c>
      <c r="F1020" s="60">
        <f>COUNTIF(tbl_performance[employee_month_key],tbl_performance[[#This Row],[employee_month_key]])</f>
        <v>1</v>
      </c>
      <c r="G1020" s="61">
        <f>tbl_performance[[#This Row],[achieved]]/tbl_performance[[#This Row],[target]]</f>
        <v>1.0833333333333333</v>
      </c>
      <c r="H1020" s="60" t="str" cm="1">
        <f t="array" ref="H1020">_xlfn.IFS(tbl_performance[[#This Row],[performance_pct]]&gt;=1.1,"Excellent",tbl_performance[[#This Row],[performance_pct]]&gt;=1,"Good",tbl_performance[[#This Row],[performance_pct]]&gt;=0.85,"Average",TRUE,"Poor")</f>
        <v>Good</v>
      </c>
    </row>
    <row r="1021" spans="1:8" ht="19.8" x14ac:dyDescent="0.65">
      <c r="A1021" s="58" t="s">
        <v>217</v>
      </c>
      <c r="B1021" s="59">
        <v>45962</v>
      </c>
      <c r="C1021" s="60">
        <v>235</v>
      </c>
      <c r="D1021" s="60">
        <v>224</v>
      </c>
      <c r="E1021" s="60" t="str">
        <f>tbl_performance[[#This Row],[employee_id]]&amp;"-"&amp;TEXT(tbl_performance[[#This Row],[month]],"mm")</f>
        <v>EMP1091-11</v>
      </c>
      <c r="F1021" s="60">
        <f>COUNTIF(tbl_performance[employee_month_key],tbl_performance[[#This Row],[employee_month_key]])</f>
        <v>1</v>
      </c>
      <c r="G1021" s="61">
        <f>tbl_performance[[#This Row],[achieved]]/tbl_performance[[#This Row],[target]]</f>
        <v>0.95319148936170217</v>
      </c>
      <c r="H1021" s="60" t="str" cm="1">
        <f t="array" ref="H102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22" spans="1:8" ht="19.8" x14ac:dyDescent="0.65">
      <c r="A1022" s="58" t="s">
        <v>217</v>
      </c>
      <c r="B1022" s="59">
        <v>45992</v>
      </c>
      <c r="C1022" s="60">
        <v>200</v>
      </c>
      <c r="D1022" s="60">
        <v>196</v>
      </c>
      <c r="E1022" s="60" t="str">
        <f>tbl_performance[[#This Row],[employee_id]]&amp;"-"&amp;TEXT(tbl_performance[[#This Row],[month]],"mm")</f>
        <v>EMP1091-12</v>
      </c>
      <c r="F1022" s="60">
        <f>COUNTIF(tbl_performance[employee_month_key],tbl_performance[[#This Row],[employee_month_key]])</f>
        <v>1</v>
      </c>
      <c r="G1022" s="61">
        <f>tbl_performance[[#This Row],[achieved]]/tbl_performance[[#This Row],[target]]</f>
        <v>0.98</v>
      </c>
      <c r="H1022" s="60" t="str" cm="1">
        <f t="array" ref="H102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23" spans="1:8" ht="19.8" x14ac:dyDescent="0.65">
      <c r="A1023" s="58" t="s">
        <v>219</v>
      </c>
      <c r="B1023" s="59">
        <v>45658</v>
      </c>
      <c r="C1023" s="60">
        <v>38</v>
      </c>
      <c r="D1023" s="60">
        <v>40</v>
      </c>
      <c r="E1023" s="60" t="str">
        <f>tbl_performance[[#This Row],[employee_id]]&amp;"-"&amp;TEXT(tbl_performance[[#This Row],[month]],"mm")</f>
        <v>EMP1092-01</v>
      </c>
      <c r="F1023" s="60">
        <f>COUNTIF(tbl_performance[employee_month_key],tbl_performance[[#This Row],[employee_month_key]])</f>
        <v>1</v>
      </c>
      <c r="G1023" s="61">
        <f>tbl_performance[[#This Row],[achieved]]/tbl_performance[[#This Row],[target]]</f>
        <v>1.0526315789473684</v>
      </c>
      <c r="H1023" s="60" t="str" cm="1">
        <f t="array" ref="H1023">_xlfn.IFS(tbl_performance[[#This Row],[performance_pct]]&gt;=1.1,"Excellent",tbl_performance[[#This Row],[performance_pct]]&gt;=1,"Good",tbl_performance[[#This Row],[performance_pct]]&gt;=0.85,"Average",TRUE,"Poor")</f>
        <v>Good</v>
      </c>
    </row>
    <row r="1024" spans="1:8" ht="19.8" x14ac:dyDescent="0.65">
      <c r="A1024" s="58" t="s">
        <v>219</v>
      </c>
      <c r="B1024" s="59">
        <v>45689</v>
      </c>
      <c r="C1024" s="60">
        <v>35</v>
      </c>
      <c r="D1024" s="60">
        <v>35</v>
      </c>
      <c r="E1024" s="60" t="str">
        <f>tbl_performance[[#This Row],[employee_id]]&amp;"-"&amp;TEXT(tbl_performance[[#This Row],[month]],"mm")</f>
        <v>EMP1092-02</v>
      </c>
      <c r="F1024" s="60">
        <f>COUNTIF(tbl_performance[employee_month_key],tbl_performance[[#This Row],[employee_month_key]])</f>
        <v>1</v>
      </c>
      <c r="G1024" s="61">
        <f>tbl_performance[[#This Row],[achieved]]/tbl_performance[[#This Row],[target]]</f>
        <v>1</v>
      </c>
      <c r="H1024" s="60" t="str" cm="1">
        <f t="array" ref="H1024">_xlfn.IFS(tbl_performance[[#This Row],[performance_pct]]&gt;=1.1,"Excellent",tbl_performance[[#This Row],[performance_pct]]&gt;=1,"Good",tbl_performance[[#This Row],[performance_pct]]&gt;=0.85,"Average",TRUE,"Poor")</f>
        <v>Good</v>
      </c>
    </row>
    <row r="1025" spans="1:8" ht="19.8" x14ac:dyDescent="0.65">
      <c r="A1025" s="58" t="s">
        <v>219</v>
      </c>
      <c r="B1025" s="59">
        <v>45717</v>
      </c>
      <c r="C1025" s="60">
        <v>39</v>
      </c>
      <c r="D1025" s="60">
        <v>41</v>
      </c>
      <c r="E1025" s="60" t="str">
        <f>tbl_performance[[#This Row],[employee_id]]&amp;"-"&amp;TEXT(tbl_performance[[#This Row],[month]],"mm")</f>
        <v>EMP1092-03</v>
      </c>
      <c r="F1025" s="60">
        <f>COUNTIF(tbl_performance[employee_month_key],tbl_performance[[#This Row],[employee_month_key]])</f>
        <v>1</v>
      </c>
      <c r="G1025" s="61">
        <f>tbl_performance[[#This Row],[achieved]]/tbl_performance[[#This Row],[target]]</f>
        <v>1.0512820512820513</v>
      </c>
      <c r="H1025" s="60" t="str" cm="1">
        <f t="array" ref="H1025">_xlfn.IFS(tbl_performance[[#This Row],[performance_pct]]&gt;=1.1,"Excellent",tbl_performance[[#This Row],[performance_pct]]&gt;=1,"Good",tbl_performance[[#This Row],[performance_pct]]&gt;=0.85,"Average",TRUE,"Poor")</f>
        <v>Good</v>
      </c>
    </row>
    <row r="1026" spans="1:8" ht="19.8" x14ac:dyDescent="0.65">
      <c r="A1026" s="58" t="s">
        <v>219</v>
      </c>
      <c r="B1026" s="59">
        <v>45748</v>
      </c>
      <c r="C1026" s="60">
        <v>38</v>
      </c>
      <c r="D1026" s="60">
        <v>38</v>
      </c>
      <c r="E1026" s="60" t="str">
        <f>tbl_performance[[#This Row],[employee_id]]&amp;"-"&amp;TEXT(tbl_performance[[#This Row],[month]],"mm")</f>
        <v>EMP1092-04</v>
      </c>
      <c r="F1026" s="60">
        <f>COUNTIF(tbl_performance[employee_month_key],tbl_performance[[#This Row],[employee_month_key]])</f>
        <v>1</v>
      </c>
      <c r="G1026" s="61">
        <f>tbl_performance[[#This Row],[achieved]]/tbl_performance[[#This Row],[target]]</f>
        <v>1</v>
      </c>
      <c r="H1026" s="60" t="str" cm="1">
        <f t="array" ref="H1026">_xlfn.IFS(tbl_performance[[#This Row],[performance_pct]]&gt;=1.1,"Excellent",tbl_performance[[#This Row],[performance_pct]]&gt;=1,"Good",tbl_performance[[#This Row],[performance_pct]]&gt;=0.85,"Average",TRUE,"Poor")</f>
        <v>Good</v>
      </c>
    </row>
    <row r="1027" spans="1:8" ht="19.8" x14ac:dyDescent="0.65">
      <c r="A1027" s="58" t="s">
        <v>219</v>
      </c>
      <c r="B1027" s="59">
        <v>45778</v>
      </c>
      <c r="C1027" s="60">
        <v>38</v>
      </c>
      <c r="D1027" s="60">
        <v>39</v>
      </c>
      <c r="E1027" s="60" t="str">
        <f>tbl_performance[[#This Row],[employee_id]]&amp;"-"&amp;TEXT(tbl_performance[[#This Row],[month]],"mm")</f>
        <v>EMP1092-05</v>
      </c>
      <c r="F1027" s="60">
        <f>COUNTIF(tbl_performance[employee_month_key],tbl_performance[[#This Row],[employee_month_key]])</f>
        <v>1</v>
      </c>
      <c r="G1027" s="61">
        <f>tbl_performance[[#This Row],[achieved]]/tbl_performance[[#This Row],[target]]</f>
        <v>1.0263157894736843</v>
      </c>
      <c r="H1027" s="60" t="str" cm="1">
        <f t="array" ref="H1027">_xlfn.IFS(tbl_performance[[#This Row],[performance_pct]]&gt;=1.1,"Excellent",tbl_performance[[#This Row],[performance_pct]]&gt;=1,"Good",tbl_performance[[#This Row],[performance_pct]]&gt;=0.85,"Average",TRUE,"Poor")</f>
        <v>Good</v>
      </c>
    </row>
    <row r="1028" spans="1:8" ht="19.8" x14ac:dyDescent="0.65">
      <c r="A1028" s="58" t="s">
        <v>219</v>
      </c>
      <c r="B1028" s="59">
        <v>45809</v>
      </c>
      <c r="C1028" s="60">
        <v>37</v>
      </c>
      <c r="D1028" s="60">
        <v>37</v>
      </c>
      <c r="E1028" s="60" t="str">
        <f>tbl_performance[[#This Row],[employee_id]]&amp;"-"&amp;TEXT(tbl_performance[[#This Row],[month]],"mm")</f>
        <v>EMP1092-06</v>
      </c>
      <c r="F1028" s="60">
        <f>COUNTIF(tbl_performance[employee_month_key],tbl_performance[[#This Row],[employee_month_key]])</f>
        <v>1</v>
      </c>
      <c r="G1028" s="61">
        <f>tbl_performance[[#This Row],[achieved]]/tbl_performance[[#This Row],[target]]</f>
        <v>1</v>
      </c>
      <c r="H1028" s="60" t="str" cm="1">
        <f t="array" ref="H1028">_xlfn.IFS(tbl_performance[[#This Row],[performance_pct]]&gt;=1.1,"Excellent",tbl_performance[[#This Row],[performance_pct]]&gt;=1,"Good",tbl_performance[[#This Row],[performance_pct]]&gt;=0.85,"Average",TRUE,"Poor")</f>
        <v>Good</v>
      </c>
    </row>
    <row r="1029" spans="1:8" ht="19.8" x14ac:dyDescent="0.65">
      <c r="A1029" s="58" t="s">
        <v>219</v>
      </c>
      <c r="B1029" s="59">
        <v>45839</v>
      </c>
      <c r="C1029" s="60">
        <v>38</v>
      </c>
      <c r="D1029" s="60">
        <v>42</v>
      </c>
      <c r="E1029" s="60" t="str">
        <f>tbl_performance[[#This Row],[employee_id]]&amp;"-"&amp;TEXT(tbl_performance[[#This Row],[month]],"mm")</f>
        <v>EMP1092-07</v>
      </c>
      <c r="F1029" s="60">
        <f>COUNTIF(tbl_performance[employee_month_key],tbl_performance[[#This Row],[employee_month_key]])</f>
        <v>1</v>
      </c>
      <c r="G1029" s="61">
        <f>tbl_performance[[#This Row],[achieved]]/tbl_performance[[#This Row],[target]]</f>
        <v>1.1052631578947369</v>
      </c>
      <c r="H1029" s="60" t="str" cm="1">
        <f t="array" ref="H102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30" spans="1:8" ht="19.8" x14ac:dyDescent="0.65">
      <c r="A1030" s="58" t="s">
        <v>219</v>
      </c>
      <c r="B1030" s="59">
        <v>45870</v>
      </c>
      <c r="C1030" s="60">
        <v>37</v>
      </c>
      <c r="D1030" s="60">
        <v>35</v>
      </c>
      <c r="E1030" s="60" t="str">
        <f>tbl_performance[[#This Row],[employee_id]]&amp;"-"&amp;TEXT(tbl_performance[[#This Row],[month]],"mm")</f>
        <v>EMP1092-08</v>
      </c>
      <c r="F1030" s="60">
        <f>COUNTIF(tbl_performance[employee_month_key],tbl_performance[[#This Row],[employee_month_key]])</f>
        <v>1</v>
      </c>
      <c r="G1030" s="61">
        <f>tbl_performance[[#This Row],[achieved]]/tbl_performance[[#This Row],[target]]</f>
        <v>0.94594594594594594</v>
      </c>
      <c r="H1030" s="60" t="str" cm="1">
        <f t="array" ref="H103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31" spans="1:8" ht="19.8" x14ac:dyDescent="0.65">
      <c r="A1031" s="58" t="s">
        <v>219</v>
      </c>
      <c r="B1031" s="59">
        <v>45901</v>
      </c>
      <c r="C1031" s="60">
        <v>38</v>
      </c>
      <c r="D1031" s="60">
        <v>39</v>
      </c>
      <c r="E1031" s="60" t="str">
        <f>tbl_performance[[#This Row],[employee_id]]&amp;"-"&amp;TEXT(tbl_performance[[#This Row],[month]],"mm")</f>
        <v>EMP1092-09</v>
      </c>
      <c r="F1031" s="60">
        <f>COUNTIF(tbl_performance[employee_month_key],tbl_performance[[#This Row],[employee_month_key]])</f>
        <v>1</v>
      </c>
      <c r="G1031" s="61">
        <f>tbl_performance[[#This Row],[achieved]]/tbl_performance[[#This Row],[target]]</f>
        <v>1.0263157894736843</v>
      </c>
      <c r="H1031" s="60" t="str" cm="1">
        <f t="array" ref="H1031">_xlfn.IFS(tbl_performance[[#This Row],[performance_pct]]&gt;=1.1,"Excellent",tbl_performance[[#This Row],[performance_pct]]&gt;=1,"Good",tbl_performance[[#This Row],[performance_pct]]&gt;=0.85,"Average",TRUE,"Poor")</f>
        <v>Good</v>
      </c>
    </row>
    <row r="1032" spans="1:8" ht="19.8" x14ac:dyDescent="0.65">
      <c r="A1032" s="58" t="s">
        <v>219</v>
      </c>
      <c r="B1032" s="59">
        <v>45931</v>
      </c>
      <c r="C1032" s="60">
        <v>39</v>
      </c>
      <c r="D1032" s="60">
        <v>41</v>
      </c>
      <c r="E1032" s="60" t="str">
        <f>tbl_performance[[#This Row],[employee_id]]&amp;"-"&amp;TEXT(tbl_performance[[#This Row],[month]],"mm")</f>
        <v>EMP1092-10</v>
      </c>
      <c r="F1032" s="60">
        <f>COUNTIF(tbl_performance[employee_month_key],tbl_performance[[#This Row],[employee_month_key]])</f>
        <v>1</v>
      </c>
      <c r="G1032" s="61">
        <f>tbl_performance[[#This Row],[achieved]]/tbl_performance[[#This Row],[target]]</f>
        <v>1.0512820512820513</v>
      </c>
      <c r="H1032" s="60" t="str" cm="1">
        <f t="array" ref="H1032">_xlfn.IFS(tbl_performance[[#This Row],[performance_pct]]&gt;=1.1,"Excellent",tbl_performance[[#This Row],[performance_pct]]&gt;=1,"Good",tbl_performance[[#This Row],[performance_pct]]&gt;=0.85,"Average",TRUE,"Poor")</f>
        <v>Good</v>
      </c>
    </row>
    <row r="1033" spans="1:8" ht="19.8" x14ac:dyDescent="0.65">
      <c r="A1033" s="58" t="s">
        <v>219</v>
      </c>
      <c r="B1033" s="59">
        <v>45962</v>
      </c>
      <c r="C1033" s="60">
        <v>38</v>
      </c>
      <c r="D1033" s="60">
        <v>40</v>
      </c>
      <c r="E1033" s="60" t="str">
        <f>tbl_performance[[#This Row],[employee_id]]&amp;"-"&amp;TEXT(tbl_performance[[#This Row],[month]],"mm")</f>
        <v>EMP1092-11</v>
      </c>
      <c r="F1033" s="60">
        <f>COUNTIF(tbl_performance[employee_month_key],tbl_performance[[#This Row],[employee_month_key]])</f>
        <v>1</v>
      </c>
      <c r="G1033" s="61">
        <f>tbl_performance[[#This Row],[achieved]]/tbl_performance[[#This Row],[target]]</f>
        <v>1.0526315789473684</v>
      </c>
      <c r="H1033" s="60" t="str" cm="1">
        <f t="array" ref="H1033">_xlfn.IFS(tbl_performance[[#This Row],[performance_pct]]&gt;=1.1,"Excellent",tbl_performance[[#This Row],[performance_pct]]&gt;=1,"Good",tbl_performance[[#This Row],[performance_pct]]&gt;=0.85,"Average",TRUE,"Poor")</f>
        <v>Good</v>
      </c>
    </row>
    <row r="1034" spans="1:8" ht="19.8" x14ac:dyDescent="0.65">
      <c r="A1034" s="58" t="s">
        <v>219</v>
      </c>
      <c r="B1034" s="59">
        <v>45992</v>
      </c>
      <c r="C1034" s="60">
        <v>32</v>
      </c>
      <c r="D1034" s="60">
        <v>31</v>
      </c>
      <c r="E1034" s="60" t="str">
        <f>tbl_performance[[#This Row],[employee_id]]&amp;"-"&amp;TEXT(tbl_performance[[#This Row],[month]],"mm")</f>
        <v>EMP1092-12</v>
      </c>
      <c r="F1034" s="60">
        <f>COUNTIF(tbl_performance[employee_month_key],tbl_performance[[#This Row],[employee_month_key]])</f>
        <v>1</v>
      </c>
      <c r="G1034" s="61">
        <f>tbl_performance[[#This Row],[achieved]]/tbl_performance[[#This Row],[target]]</f>
        <v>0.96875</v>
      </c>
      <c r="H1034" s="60" t="str" cm="1">
        <f t="array" ref="H103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35" spans="1:8" ht="19.8" x14ac:dyDescent="0.65">
      <c r="A1035" s="58" t="s">
        <v>221</v>
      </c>
      <c r="B1035" s="59">
        <v>45658</v>
      </c>
      <c r="C1035" s="60">
        <v>43</v>
      </c>
      <c r="D1035" s="60">
        <v>45</v>
      </c>
      <c r="E1035" s="60" t="str">
        <f>tbl_performance[[#This Row],[employee_id]]&amp;"-"&amp;TEXT(tbl_performance[[#This Row],[month]],"mm")</f>
        <v>EMP1093-01</v>
      </c>
      <c r="F1035" s="60">
        <f>COUNTIF(tbl_performance[employee_month_key],tbl_performance[[#This Row],[employee_month_key]])</f>
        <v>1</v>
      </c>
      <c r="G1035" s="61">
        <f>tbl_performance[[#This Row],[achieved]]/tbl_performance[[#This Row],[target]]</f>
        <v>1.0465116279069768</v>
      </c>
      <c r="H1035" s="60" t="str" cm="1">
        <f t="array" ref="H1035">_xlfn.IFS(tbl_performance[[#This Row],[performance_pct]]&gt;=1.1,"Excellent",tbl_performance[[#This Row],[performance_pct]]&gt;=1,"Good",tbl_performance[[#This Row],[performance_pct]]&gt;=0.85,"Average",TRUE,"Poor")</f>
        <v>Good</v>
      </c>
    </row>
    <row r="1036" spans="1:8" ht="19.8" x14ac:dyDescent="0.65">
      <c r="A1036" s="58" t="s">
        <v>221</v>
      </c>
      <c r="B1036" s="59">
        <v>45689</v>
      </c>
      <c r="C1036" s="60">
        <v>40</v>
      </c>
      <c r="D1036" s="60">
        <v>42</v>
      </c>
      <c r="E1036" s="60" t="str">
        <f>tbl_performance[[#This Row],[employee_id]]&amp;"-"&amp;TEXT(tbl_performance[[#This Row],[month]],"mm")</f>
        <v>EMP1093-02</v>
      </c>
      <c r="F1036" s="60">
        <f>COUNTIF(tbl_performance[employee_month_key],tbl_performance[[#This Row],[employee_month_key]])</f>
        <v>1</v>
      </c>
      <c r="G1036" s="61">
        <f>tbl_performance[[#This Row],[achieved]]/tbl_performance[[#This Row],[target]]</f>
        <v>1.05</v>
      </c>
      <c r="H1036" s="60" t="str" cm="1">
        <f t="array" ref="H1036">_xlfn.IFS(tbl_performance[[#This Row],[performance_pct]]&gt;=1.1,"Excellent",tbl_performance[[#This Row],[performance_pct]]&gt;=1,"Good",tbl_performance[[#This Row],[performance_pct]]&gt;=0.85,"Average",TRUE,"Poor")</f>
        <v>Good</v>
      </c>
    </row>
    <row r="1037" spans="1:8" ht="19.8" x14ac:dyDescent="0.65">
      <c r="A1037" s="58" t="s">
        <v>221</v>
      </c>
      <c r="B1037" s="59">
        <v>45717</v>
      </c>
      <c r="C1037" s="60">
        <v>44</v>
      </c>
      <c r="D1037" s="60">
        <v>48</v>
      </c>
      <c r="E1037" s="60" t="str">
        <f>tbl_performance[[#This Row],[employee_id]]&amp;"-"&amp;TEXT(tbl_performance[[#This Row],[month]],"mm")</f>
        <v>EMP1093-03</v>
      </c>
      <c r="F1037" s="60">
        <f>COUNTIF(tbl_performance[employee_month_key],tbl_performance[[#This Row],[employee_month_key]])</f>
        <v>1</v>
      </c>
      <c r="G1037" s="61">
        <f>tbl_performance[[#This Row],[achieved]]/tbl_performance[[#This Row],[target]]</f>
        <v>1.0909090909090908</v>
      </c>
      <c r="H1037" s="60" t="str" cm="1">
        <f t="array" ref="H1037">_xlfn.IFS(tbl_performance[[#This Row],[performance_pct]]&gt;=1.1,"Excellent",tbl_performance[[#This Row],[performance_pct]]&gt;=1,"Good",tbl_performance[[#This Row],[performance_pct]]&gt;=0.85,"Average",TRUE,"Poor")</f>
        <v>Good</v>
      </c>
    </row>
    <row r="1038" spans="1:8" ht="19.8" x14ac:dyDescent="0.65">
      <c r="A1038" s="58" t="s">
        <v>221</v>
      </c>
      <c r="B1038" s="59">
        <v>45748</v>
      </c>
      <c r="C1038" s="60">
        <v>43</v>
      </c>
      <c r="D1038" s="60">
        <v>49</v>
      </c>
      <c r="E1038" s="60" t="str">
        <f>tbl_performance[[#This Row],[employee_id]]&amp;"-"&amp;TEXT(tbl_performance[[#This Row],[month]],"mm")</f>
        <v>EMP1093-04</v>
      </c>
      <c r="F1038" s="60">
        <f>COUNTIF(tbl_performance[employee_month_key],tbl_performance[[#This Row],[employee_month_key]])</f>
        <v>1</v>
      </c>
      <c r="G1038" s="61">
        <f>tbl_performance[[#This Row],[achieved]]/tbl_performance[[#This Row],[target]]</f>
        <v>1.1395348837209303</v>
      </c>
      <c r="H1038" s="60" t="str" cm="1">
        <f t="array" ref="H103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39" spans="1:8" ht="19.8" x14ac:dyDescent="0.65">
      <c r="A1039" s="58" t="s">
        <v>221</v>
      </c>
      <c r="B1039" s="59">
        <v>45778</v>
      </c>
      <c r="C1039" s="60">
        <v>43</v>
      </c>
      <c r="D1039" s="60">
        <v>44</v>
      </c>
      <c r="E1039" s="60" t="str">
        <f>tbl_performance[[#This Row],[employee_id]]&amp;"-"&amp;TEXT(tbl_performance[[#This Row],[month]],"mm")</f>
        <v>EMP1093-05</v>
      </c>
      <c r="F1039" s="60">
        <f>COUNTIF(tbl_performance[employee_month_key],tbl_performance[[#This Row],[employee_month_key]])</f>
        <v>1</v>
      </c>
      <c r="G1039" s="61">
        <f>tbl_performance[[#This Row],[achieved]]/tbl_performance[[#This Row],[target]]</f>
        <v>1.0232558139534884</v>
      </c>
      <c r="H1039" s="60" t="str" cm="1">
        <f t="array" ref="H1039">_xlfn.IFS(tbl_performance[[#This Row],[performance_pct]]&gt;=1.1,"Excellent",tbl_performance[[#This Row],[performance_pct]]&gt;=1,"Good",tbl_performance[[#This Row],[performance_pct]]&gt;=0.85,"Average",TRUE,"Poor")</f>
        <v>Good</v>
      </c>
    </row>
    <row r="1040" spans="1:8" ht="19.8" x14ac:dyDescent="0.65">
      <c r="A1040" s="58" t="s">
        <v>221</v>
      </c>
      <c r="B1040" s="59">
        <v>45809</v>
      </c>
      <c r="C1040" s="60">
        <v>42</v>
      </c>
      <c r="D1040" s="60">
        <v>42</v>
      </c>
      <c r="E1040" s="60" t="str">
        <f>tbl_performance[[#This Row],[employee_id]]&amp;"-"&amp;TEXT(tbl_performance[[#This Row],[month]],"mm")</f>
        <v>EMP1093-06</v>
      </c>
      <c r="F1040" s="60">
        <f>COUNTIF(tbl_performance[employee_month_key],tbl_performance[[#This Row],[employee_month_key]])</f>
        <v>1</v>
      </c>
      <c r="G1040" s="61">
        <f>tbl_performance[[#This Row],[achieved]]/tbl_performance[[#This Row],[target]]</f>
        <v>1</v>
      </c>
      <c r="H1040" s="60" t="str" cm="1">
        <f t="array" ref="H1040">_xlfn.IFS(tbl_performance[[#This Row],[performance_pct]]&gt;=1.1,"Excellent",tbl_performance[[#This Row],[performance_pct]]&gt;=1,"Good",tbl_performance[[#This Row],[performance_pct]]&gt;=0.85,"Average",TRUE,"Poor")</f>
        <v>Good</v>
      </c>
    </row>
    <row r="1041" spans="1:8" ht="19.8" x14ac:dyDescent="0.65">
      <c r="A1041" s="58" t="s">
        <v>221</v>
      </c>
      <c r="B1041" s="59">
        <v>45839</v>
      </c>
      <c r="C1041" s="60">
        <v>43</v>
      </c>
      <c r="D1041" s="60">
        <v>45</v>
      </c>
      <c r="E1041" s="60" t="str">
        <f>tbl_performance[[#This Row],[employee_id]]&amp;"-"&amp;TEXT(tbl_performance[[#This Row],[month]],"mm")</f>
        <v>EMP1093-07</v>
      </c>
      <c r="F1041" s="60">
        <f>COUNTIF(tbl_performance[employee_month_key],tbl_performance[[#This Row],[employee_month_key]])</f>
        <v>1</v>
      </c>
      <c r="G1041" s="61">
        <f>tbl_performance[[#This Row],[achieved]]/tbl_performance[[#This Row],[target]]</f>
        <v>1.0465116279069768</v>
      </c>
      <c r="H1041" s="60" t="str" cm="1">
        <f t="array" ref="H1041">_xlfn.IFS(tbl_performance[[#This Row],[performance_pct]]&gt;=1.1,"Excellent",tbl_performance[[#This Row],[performance_pct]]&gt;=1,"Good",tbl_performance[[#This Row],[performance_pct]]&gt;=0.85,"Average",TRUE,"Poor")</f>
        <v>Good</v>
      </c>
    </row>
    <row r="1042" spans="1:8" ht="19.8" x14ac:dyDescent="0.65">
      <c r="A1042" s="58" t="s">
        <v>221</v>
      </c>
      <c r="B1042" s="59">
        <v>45870</v>
      </c>
      <c r="C1042" s="60">
        <v>42</v>
      </c>
      <c r="D1042" s="60">
        <v>47</v>
      </c>
      <c r="E1042" s="60" t="str">
        <f>tbl_performance[[#This Row],[employee_id]]&amp;"-"&amp;TEXT(tbl_performance[[#This Row],[month]],"mm")</f>
        <v>EMP1093-08</v>
      </c>
      <c r="F1042" s="60">
        <f>COUNTIF(tbl_performance[employee_month_key],tbl_performance[[#This Row],[employee_month_key]])</f>
        <v>1</v>
      </c>
      <c r="G1042" s="61">
        <f>tbl_performance[[#This Row],[achieved]]/tbl_performance[[#This Row],[target]]</f>
        <v>1.1190476190476191</v>
      </c>
      <c r="H1042" s="60" t="str" cm="1">
        <f t="array" ref="H104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43" spans="1:8" ht="19.8" x14ac:dyDescent="0.65">
      <c r="A1043" s="58" t="s">
        <v>221</v>
      </c>
      <c r="B1043" s="59">
        <v>45901</v>
      </c>
      <c r="C1043" s="60">
        <v>43</v>
      </c>
      <c r="D1043" s="60">
        <v>44</v>
      </c>
      <c r="E1043" s="60" t="str">
        <f>tbl_performance[[#This Row],[employee_id]]&amp;"-"&amp;TEXT(tbl_performance[[#This Row],[month]],"mm")</f>
        <v>EMP1093-09</v>
      </c>
      <c r="F1043" s="60">
        <f>COUNTIF(tbl_performance[employee_month_key],tbl_performance[[#This Row],[employee_month_key]])</f>
        <v>1</v>
      </c>
      <c r="G1043" s="61">
        <f>tbl_performance[[#This Row],[achieved]]/tbl_performance[[#This Row],[target]]</f>
        <v>1.0232558139534884</v>
      </c>
      <c r="H1043" s="60" t="str" cm="1">
        <f t="array" ref="H1043">_xlfn.IFS(tbl_performance[[#This Row],[performance_pct]]&gt;=1.1,"Excellent",tbl_performance[[#This Row],[performance_pct]]&gt;=1,"Good",tbl_performance[[#This Row],[performance_pct]]&gt;=0.85,"Average",TRUE,"Poor")</f>
        <v>Good</v>
      </c>
    </row>
    <row r="1044" spans="1:8" ht="19.8" x14ac:dyDescent="0.65">
      <c r="A1044" s="58" t="s">
        <v>221</v>
      </c>
      <c r="B1044" s="59">
        <v>45931</v>
      </c>
      <c r="C1044" s="60">
        <v>44</v>
      </c>
      <c r="D1044" s="60">
        <v>49</v>
      </c>
      <c r="E1044" s="60" t="str">
        <f>tbl_performance[[#This Row],[employee_id]]&amp;"-"&amp;TEXT(tbl_performance[[#This Row],[month]],"mm")</f>
        <v>EMP1093-10</v>
      </c>
      <c r="F1044" s="60">
        <f>COUNTIF(tbl_performance[employee_month_key],tbl_performance[[#This Row],[employee_month_key]])</f>
        <v>1</v>
      </c>
      <c r="G1044" s="61">
        <f>tbl_performance[[#This Row],[achieved]]/tbl_performance[[#This Row],[target]]</f>
        <v>1.1136363636363635</v>
      </c>
      <c r="H1044" s="60" t="str" cm="1">
        <f t="array" ref="H104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45" spans="1:8" ht="19.8" x14ac:dyDescent="0.65">
      <c r="A1045" s="58" t="s">
        <v>221</v>
      </c>
      <c r="B1045" s="59">
        <v>45962</v>
      </c>
      <c r="C1045" s="60">
        <v>43</v>
      </c>
      <c r="D1045" s="60">
        <v>48</v>
      </c>
      <c r="E1045" s="60" t="str">
        <f>tbl_performance[[#This Row],[employee_id]]&amp;"-"&amp;TEXT(tbl_performance[[#This Row],[month]],"mm")</f>
        <v>EMP1093-11</v>
      </c>
      <c r="F1045" s="60">
        <f>COUNTIF(tbl_performance[employee_month_key],tbl_performance[[#This Row],[employee_month_key]])</f>
        <v>1</v>
      </c>
      <c r="G1045" s="61">
        <f>tbl_performance[[#This Row],[achieved]]/tbl_performance[[#This Row],[target]]</f>
        <v>1.1162790697674418</v>
      </c>
      <c r="H1045" s="60" t="str" cm="1">
        <f t="array" ref="H104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46" spans="1:8" ht="19.8" x14ac:dyDescent="0.65">
      <c r="A1046" s="58" t="s">
        <v>221</v>
      </c>
      <c r="B1046" s="59">
        <v>45992</v>
      </c>
      <c r="C1046" s="60">
        <v>37</v>
      </c>
      <c r="D1046" s="60">
        <v>37</v>
      </c>
      <c r="E1046" s="60" t="str">
        <f>tbl_performance[[#This Row],[employee_id]]&amp;"-"&amp;TEXT(tbl_performance[[#This Row],[month]],"mm")</f>
        <v>EMP1093-12</v>
      </c>
      <c r="F1046" s="60">
        <f>COUNTIF(tbl_performance[employee_month_key],tbl_performance[[#This Row],[employee_month_key]])</f>
        <v>1</v>
      </c>
      <c r="G1046" s="61">
        <f>tbl_performance[[#This Row],[achieved]]/tbl_performance[[#This Row],[target]]</f>
        <v>1</v>
      </c>
      <c r="H1046" s="60" t="str" cm="1">
        <f t="array" ref="H1046">_xlfn.IFS(tbl_performance[[#This Row],[performance_pct]]&gt;=1.1,"Excellent",tbl_performance[[#This Row],[performance_pct]]&gt;=1,"Good",tbl_performance[[#This Row],[performance_pct]]&gt;=0.85,"Average",TRUE,"Poor")</f>
        <v>Good</v>
      </c>
    </row>
    <row r="1047" spans="1:8" ht="19.8" x14ac:dyDescent="0.65">
      <c r="A1047" s="58" t="s">
        <v>223</v>
      </c>
      <c r="B1047" s="59">
        <v>45658</v>
      </c>
      <c r="C1047" s="60">
        <v>57234</v>
      </c>
      <c r="D1047" s="60">
        <v>61963</v>
      </c>
      <c r="E1047" s="60" t="str">
        <f>tbl_performance[[#This Row],[employee_id]]&amp;"-"&amp;TEXT(tbl_performance[[#This Row],[month]],"mm")</f>
        <v>EMP1094-01</v>
      </c>
      <c r="F1047" s="60">
        <f>COUNTIF(tbl_performance[employee_month_key],tbl_performance[[#This Row],[employee_month_key]])</f>
        <v>1</v>
      </c>
      <c r="G1047" s="61">
        <f>tbl_performance[[#This Row],[achieved]]/tbl_performance[[#This Row],[target]]</f>
        <v>1.082625711989377</v>
      </c>
      <c r="H1047" s="60" t="str" cm="1">
        <f t="array" ref="H1047">_xlfn.IFS(tbl_performance[[#This Row],[performance_pct]]&gt;=1.1,"Excellent",tbl_performance[[#This Row],[performance_pct]]&gt;=1,"Good",tbl_performance[[#This Row],[performance_pct]]&gt;=0.85,"Average",TRUE,"Poor")</f>
        <v>Good</v>
      </c>
    </row>
    <row r="1048" spans="1:8" ht="19.8" x14ac:dyDescent="0.65">
      <c r="A1048" s="58" t="s">
        <v>223</v>
      </c>
      <c r="B1048" s="59">
        <v>45689</v>
      </c>
      <c r="C1048" s="60">
        <v>53228</v>
      </c>
      <c r="D1048" s="60">
        <v>48059</v>
      </c>
      <c r="E1048" s="60" t="str">
        <f>tbl_performance[[#This Row],[employee_id]]&amp;"-"&amp;TEXT(tbl_performance[[#This Row],[month]],"mm")</f>
        <v>EMP1094-02</v>
      </c>
      <c r="F1048" s="60">
        <f>COUNTIF(tbl_performance[employee_month_key],tbl_performance[[#This Row],[employee_month_key]])</f>
        <v>1</v>
      </c>
      <c r="G1048" s="61">
        <f>tbl_performance[[#This Row],[achieved]]/tbl_performance[[#This Row],[target]]</f>
        <v>0.90288945667693699</v>
      </c>
      <c r="H1048" s="60" t="str" cm="1">
        <f t="array" ref="H104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49" spans="1:8" ht="19.8" x14ac:dyDescent="0.65">
      <c r="A1049" s="58" t="s">
        <v>223</v>
      </c>
      <c r="B1049" s="59">
        <v>45717</v>
      </c>
      <c r="C1049" s="60">
        <v>58379</v>
      </c>
      <c r="D1049" s="60">
        <v>55540</v>
      </c>
      <c r="E1049" s="60" t="str">
        <f>tbl_performance[[#This Row],[employee_id]]&amp;"-"&amp;TEXT(tbl_performance[[#This Row],[month]],"mm")</f>
        <v>EMP1094-03</v>
      </c>
      <c r="F1049" s="60">
        <f>COUNTIF(tbl_performance[employee_month_key],tbl_performance[[#This Row],[employee_month_key]])</f>
        <v>1</v>
      </c>
      <c r="G1049" s="61">
        <f>tbl_performance[[#This Row],[achieved]]/tbl_performance[[#This Row],[target]]</f>
        <v>0.95136949930625736</v>
      </c>
      <c r="H1049" s="60" t="str" cm="1">
        <f t="array" ref="H104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0" spans="1:8" ht="19.8" x14ac:dyDescent="0.65">
      <c r="A1050" s="58" t="s">
        <v>223</v>
      </c>
      <c r="B1050" s="59">
        <v>45748</v>
      </c>
      <c r="C1050" s="60">
        <v>57234</v>
      </c>
      <c r="D1050" s="60">
        <v>52345</v>
      </c>
      <c r="E1050" s="60" t="str">
        <f>tbl_performance[[#This Row],[employee_id]]&amp;"-"&amp;TEXT(tbl_performance[[#This Row],[month]],"mm")</f>
        <v>EMP1094-04</v>
      </c>
      <c r="F1050" s="60">
        <f>COUNTIF(tbl_performance[employee_month_key],tbl_performance[[#This Row],[employee_month_key]])</f>
        <v>1</v>
      </c>
      <c r="G1050" s="61">
        <f>tbl_performance[[#This Row],[achieved]]/tbl_performance[[#This Row],[target]]</f>
        <v>0.91457874689869656</v>
      </c>
      <c r="H1050" s="60" t="str" cm="1">
        <f t="array" ref="H105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1" spans="1:8" ht="19.8" x14ac:dyDescent="0.65">
      <c r="A1051" s="58" t="s">
        <v>223</v>
      </c>
      <c r="B1051" s="59">
        <v>45778</v>
      </c>
      <c r="C1051" s="60">
        <v>57234</v>
      </c>
      <c r="D1051" s="60">
        <v>49923</v>
      </c>
      <c r="E1051" s="60" t="str">
        <f>tbl_performance[[#This Row],[employee_id]]&amp;"-"&amp;TEXT(tbl_performance[[#This Row],[month]],"mm")</f>
        <v>EMP1094-05</v>
      </c>
      <c r="F1051" s="60">
        <f>COUNTIF(tbl_performance[employee_month_key],tbl_performance[[#This Row],[employee_month_key]])</f>
        <v>1</v>
      </c>
      <c r="G1051" s="61">
        <f>tbl_performance[[#This Row],[achieved]]/tbl_performance[[#This Row],[target]]</f>
        <v>0.87226124331690957</v>
      </c>
      <c r="H1051" s="60" t="str" cm="1">
        <f t="array" ref="H105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2" spans="1:8" ht="19.8" x14ac:dyDescent="0.65">
      <c r="A1052" s="58" t="s">
        <v>223</v>
      </c>
      <c r="B1052" s="59">
        <v>45809</v>
      </c>
      <c r="C1052" s="60">
        <v>56090</v>
      </c>
      <c r="D1052" s="60">
        <v>51032</v>
      </c>
      <c r="E1052" s="60" t="str">
        <f>tbl_performance[[#This Row],[employee_id]]&amp;"-"&amp;TEXT(tbl_performance[[#This Row],[month]],"mm")</f>
        <v>EMP1094-06</v>
      </c>
      <c r="F1052" s="60">
        <f>COUNTIF(tbl_performance[employee_month_key],tbl_performance[[#This Row],[employee_month_key]])</f>
        <v>1</v>
      </c>
      <c r="G1052" s="61">
        <f>tbl_performance[[#This Row],[achieved]]/tbl_performance[[#This Row],[target]]</f>
        <v>0.90982349794972361</v>
      </c>
      <c r="H1052" s="60" t="str" cm="1">
        <f t="array" ref="H105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3" spans="1:8" ht="19.8" x14ac:dyDescent="0.65">
      <c r="A1053" s="58" t="s">
        <v>223</v>
      </c>
      <c r="B1053" s="59">
        <v>45839</v>
      </c>
      <c r="C1053" s="60">
        <v>57234</v>
      </c>
      <c r="D1053" s="60">
        <v>48840</v>
      </c>
      <c r="E1053" s="60" t="str">
        <f>tbl_performance[[#This Row],[employee_id]]&amp;"-"&amp;TEXT(tbl_performance[[#This Row],[month]],"mm")</f>
        <v>EMP1094-07</v>
      </c>
      <c r="F1053" s="60">
        <f>COUNTIF(tbl_performance[employee_month_key],tbl_performance[[#This Row],[employee_month_key]])</f>
        <v>1</v>
      </c>
      <c r="G1053" s="61">
        <f>tbl_performance[[#This Row],[achieved]]/tbl_performance[[#This Row],[target]]</f>
        <v>0.85333892441555714</v>
      </c>
      <c r="H1053" s="60" t="str" cm="1">
        <f t="array" ref="H1053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4" spans="1:8" ht="19.8" x14ac:dyDescent="0.65">
      <c r="A1054" s="58" t="s">
        <v>223</v>
      </c>
      <c r="B1054" s="59">
        <v>45870</v>
      </c>
      <c r="C1054" s="60">
        <v>55517</v>
      </c>
      <c r="D1054" s="60">
        <v>54416</v>
      </c>
      <c r="E1054" s="60" t="str">
        <f>tbl_performance[[#This Row],[employee_id]]&amp;"-"&amp;TEXT(tbl_performance[[#This Row],[month]],"mm")</f>
        <v>EMP1094-08</v>
      </c>
      <c r="F1054" s="60">
        <f>COUNTIF(tbl_performance[employee_month_key],tbl_performance[[#This Row],[employee_month_key]])</f>
        <v>1</v>
      </c>
      <c r="G1054" s="61">
        <f>tbl_performance[[#This Row],[achieved]]/tbl_performance[[#This Row],[target]]</f>
        <v>0.98016823675630893</v>
      </c>
      <c r="H1054" s="60" t="str" cm="1">
        <f t="array" ref="H105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5" spans="1:8" ht="19.8" x14ac:dyDescent="0.65">
      <c r="A1055" s="58" t="s">
        <v>223</v>
      </c>
      <c r="B1055" s="59">
        <v>45901</v>
      </c>
      <c r="C1055" s="60">
        <v>57234</v>
      </c>
      <c r="D1055" s="60">
        <v>51555</v>
      </c>
      <c r="E1055" s="60" t="str">
        <f>tbl_performance[[#This Row],[employee_id]]&amp;"-"&amp;TEXT(tbl_performance[[#This Row],[month]],"mm")</f>
        <v>EMP1094-09</v>
      </c>
      <c r="F1055" s="60">
        <f>COUNTIF(tbl_performance[employee_month_key],tbl_performance[[#This Row],[employee_month_key]])</f>
        <v>1</v>
      </c>
      <c r="G1055" s="61">
        <f>tbl_performance[[#This Row],[achieved]]/tbl_performance[[#This Row],[target]]</f>
        <v>0.90077576265855963</v>
      </c>
      <c r="H1055" s="60" t="str" cm="1">
        <f t="array" ref="H1055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6" spans="1:8" ht="19.8" x14ac:dyDescent="0.65">
      <c r="A1056" s="58" t="s">
        <v>223</v>
      </c>
      <c r="B1056" s="59">
        <v>45931</v>
      </c>
      <c r="C1056" s="60">
        <v>58379</v>
      </c>
      <c r="D1056" s="60">
        <v>58504</v>
      </c>
      <c r="E1056" s="60" t="str">
        <f>tbl_performance[[#This Row],[employee_id]]&amp;"-"&amp;TEXT(tbl_performance[[#This Row],[month]],"mm")</f>
        <v>EMP1094-10</v>
      </c>
      <c r="F1056" s="60">
        <f>COUNTIF(tbl_performance[employee_month_key],tbl_performance[[#This Row],[employee_month_key]])</f>
        <v>1</v>
      </c>
      <c r="G1056" s="61">
        <f>tbl_performance[[#This Row],[achieved]]/tbl_performance[[#This Row],[target]]</f>
        <v>1.0021411809040923</v>
      </c>
      <c r="H1056" s="60" t="str" cm="1">
        <f t="array" ref="H1056">_xlfn.IFS(tbl_performance[[#This Row],[performance_pct]]&gt;=1.1,"Excellent",tbl_performance[[#This Row],[performance_pct]]&gt;=1,"Good",tbl_performance[[#This Row],[performance_pct]]&gt;=0.85,"Average",TRUE,"Poor")</f>
        <v>Good</v>
      </c>
    </row>
    <row r="1057" spans="1:8" ht="19.8" x14ac:dyDescent="0.65">
      <c r="A1057" s="58" t="s">
        <v>223</v>
      </c>
      <c r="B1057" s="59">
        <v>45962</v>
      </c>
      <c r="C1057" s="60">
        <v>57234</v>
      </c>
      <c r="D1057" s="60">
        <v>52895</v>
      </c>
      <c r="E1057" s="60" t="str">
        <f>tbl_performance[[#This Row],[employee_id]]&amp;"-"&amp;TEXT(tbl_performance[[#This Row],[month]],"mm")</f>
        <v>EMP1094-11</v>
      </c>
      <c r="F1057" s="60">
        <f>COUNTIF(tbl_performance[employee_month_key],tbl_performance[[#This Row],[employee_month_key]])</f>
        <v>1</v>
      </c>
      <c r="G1057" s="61">
        <f>tbl_performance[[#This Row],[achieved]]/tbl_performance[[#This Row],[target]]</f>
        <v>0.92418841947094388</v>
      </c>
      <c r="H1057" s="60" t="str" cm="1">
        <f t="array" ref="H1057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58" spans="1:8" ht="19.8" x14ac:dyDescent="0.65">
      <c r="A1058" s="58" t="s">
        <v>223</v>
      </c>
      <c r="B1058" s="59">
        <v>45992</v>
      </c>
      <c r="C1058" s="60">
        <v>48649</v>
      </c>
      <c r="D1058" s="60">
        <v>56134</v>
      </c>
      <c r="E1058" s="60" t="str">
        <f>tbl_performance[[#This Row],[employee_id]]&amp;"-"&amp;TEXT(tbl_performance[[#This Row],[month]],"mm")</f>
        <v>EMP1094-12</v>
      </c>
      <c r="F1058" s="60">
        <f>COUNTIF(tbl_performance[employee_month_key],tbl_performance[[#This Row],[employee_month_key]])</f>
        <v>1</v>
      </c>
      <c r="G1058" s="61">
        <f>tbl_performance[[#This Row],[achieved]]/tbl_performance[[#This Row],[target]]</f>
        <v>1.1538572221422845</v>
      </c>
      <c r="H1058" s="60" t="str" cm="1">
        <f t="array" ref="H105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59" spans="1:8" ht="19.8" x14ac:dyDescent="0.65">
      <c r="A1059" s="58" t="s">
        <v>225</v>
      </c>
      <c r="B1059" s="59">
        <v>45658</v>
      </c>
      <c r="C1059" s="60">
        <v>370</v>
      </c>
      <c r="D1059" s="60">
        <v>353</v>
      </c>
      <c r="E1059" s="60" t="str">
        <f>tbl_performance[[#This Row],[employee_id]]&amp;"-"&amp;TEXT(tbl_performance[[#This Row],[month]],"mm")</f>
        <v>EMP1095-01</v>
      </c>
      <c r="F1059" s="60">
        <f>COUNTIF(tbl_performance[employee_month_key],tbl_performance[[#This Row],[employee_month_key]])</f>
        <v>1</v>
      </c>
      <c r="G1059" s="61">
        <f>tbl_performance[[#This Row],[achieved]]/tbl_performance[[#This Row],[target]]</f>
        <v>0.95405405405405408</v>
      </c>
      <c r="H1059" s="60" t="str" cm="1">
        <f t="array" ref="H105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60" spans="1:8" ht="19.8" x14ac:dyDescent="0.65">
      <c r="A1060" s="58" t="s">
        <v>225</v>
      </c>
      <c r="B1060" s="59">
        <v>45689</v>
      </c>
      <c r="C1060" s="60">
        <v>345</v>
      </c>
      <c r="D1060" s="60">
        <v>387</v>
      </c>
      <c r="E1060" s="60" t="str">
        <f>tbl_performance[[#This Row],[employee_id]]&amp;"-"&amp;TEXT(tbl_performance[[#This Row],[month]],"mm")</f>
        <v>EMP1095-02</v>
      </c>
      <c r="F1060" s="60">
        <f>COUNTIF(tbl_performance[employee_month_key],tbl_performance[[#This Row],[employee_month_key]])</f>
        <v>1</v>
      </c>
      <c r="G1060" s="61">
        <f>tbl_performance[[#This Row],[achieved]]/tbl_performance[[#This Row],[target]]</f>
        <v>1.1217391304347826</v>
      </c>
      <c r="H1060" s="60" t="str" cm="1">
        <f t="array" ref="H106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1" spans="1:8" ht="19.8" x14ac:dyDescent="0.65">
      <c r="A1061" s="58" t="s">
        <v>225</v>
      </c>
      <c r="B1061" s="59">
        <v>45717</v>
      </c>
      <c r="C1061" s="60">
        <v>378</v>
      </c>
      <c r="D1061" s="60">
        <v>477</v>
      </c>
      <c r="E1061" s="60" t="str">
        <f>tbl_performance[[#This Row],[employee_id]]&amp;"-"&amp;TEXT(tbl_performance[[#This Row],[month]],"mm")</f>
        <v>EMP1095-03</v>
      </c>
      <c r="F1061" s="60">
        <f>COUNTIF(tbl_performance[employee_month_key],tbl_performance[[#This Row],[employee_month_key]])</f>
        <v>1</v>
      </c>
      <c r="G1061" s="61">
        <f>tbl_performance[[#This Row],[achieved]]/tbl_performance[[#This Row],[target]]</f>
        <v>1.2619047619047619</v>
      </c>
      <c r="H1061" s="60" t="str" cm="1">
        <f t="array" ref="H1061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2" spans="1:8" ht="19.8" x14ac:dyDescent="0.65">
      <c r="A1062" s="58" t="s">
        <v>225</v>
      </c>
      <c r="B1062" s="59">
        <v>45748</v>
      </c>
      <c r="C1062" s="60">
        <v>370</v>
      </c>
      <c r="D1062" s="60">
        <v>375</v>
      </c>
      <c r="E1062" s="60" t="str">
        <f>tbl_performance[[#This Row],[employee_id]]&amp;"-"&amp;TEXT(tbl_performance[[#This Row],[month]],"mm")</f>
        <v>EMP1095-04</v>
      </c>
      <c r="F1062" s="60">
        <f>COUNTIF(tbl_performance[employee_month_key],tbl_performance[[#This Row],[employee_month_key]])</f>
        <v>1</v>
      </c>
      <c r="G1062" s="61">
        <f>tbl_performance[[#This Row],[achieved]]/tbl_performance[[#This Row],[target]]</f>
        <v>1.0135135135135136</v>
      </c>
      <c r="H1062" s="60" t="str" cm="1">
        <f t="array" ref="H1062">_xlfn.IFS(tbl_performance[[#This Row],[performance_pct]]&gt;=1.1,"Excellent",tbl_performance[[#This Row],[performance_pct]]&gt;=1,"Good",tbl_performance[[#This Row],[performance_pct]]&gt;=0.85,"Average",TRUE,"Poor")</f>
        <v>Good</v>
      </c>
    </row>
    <row r="1063" spans="1:8" ht="19.8" x14ac:dyDescent="0.65">
      <c r="A1063" s="58" t="s">
        <v>225</v>
      </c>
      <c r="B1063" s="59">
        <v>45778</v>
      </c>
      <c r="C1063" s="60">
        <v>370</v>
      </c>
      <c r="D1063" s="60">
        <v>450</v>
      </c>
      <c r="E1063" s="60" t="str">
        <f>tbl_performance[[#This Row],[employee_id]]&amp;"-"&amp;TEXT(tbl_performance[[#This Row],[month]],"mm")</f>
        <v>EMP1095-05</v>
      </c>
      <c r="F1063" s="60">
        <f>COUNTIF(tbl_performance[employee_month_key],tbl_performance[[#This Row],[employee_month_key]])</f>
        <v>1</v>
      </c>
      <c r="G1063" s="61">
        <f>tbl_performance[[#This Row],[achieved]]/tbl_performance[[#This Row],[target]]</f>
        <v>1.2162162162162162</v>
      </c>
      <c r="H1063" s="60" t="str" cm="1">
        <f t="array" ref="H1063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4" spans="1:8" ht="19.8" x14ac:dyDescent="0.65">
      <c r="A1064" s="58" t="s">
        <v>225</v>
      </c>
      <c r="B1064" s="59">
        <v>45809</v>
      </c>
      <c r="C1064" s="60">
        <v>363</v>
      </c>
      <c r="D1064" s="60">
        <v>428</v>
      </c>
      <c r="E1064" s="60" t="str">
        <f>tbl_performance[[#This Row],[employee_id]]&amp;"-"&amp;TEXT(tbl_performance[[#This Row],[month]],"mm")</f>
        <v>EMP1095-06</v>
      </c>
      <c r="F1064" s="60">
        <f>COUNTIF(tbl_performance[employee_month_key],tbl_performance[[#This Row],[employee_month_key]])</f>
        <v>1</v>
      </c>
      <c r="G1064" s="61">
        <f>tbl_performance[[#This Row],[achieved]]/tbl_performance[[#This Row],[target]]</f>
        <v>1.1790633608815426</v>
      </c>
      <c r="H1064" s="60" t="str" cm="1">
        <f t="array" ref="H1064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5" spans="1:8" ht="19.8" x14ac:dyDescent="0.65">
      <c r="A1065" s="58" t="s">
        <v>225</v>
      </c>
      <c r="B1065" s="59">
        <v>45839</v>
      </c>
      <c r="C1065" s="60">
        <v>370</v>
      </c>
      <c r="D1065" s="60">
        <v>389</v>
      </c>
      <c r="E1065" s="60" t="str">
        <f>tbl_performance[[#This Row],[employee_id]]&amp;"-"&amp;TEXT(tbl_performance[[#This Row],[month]],"mm")</f>
        <v>EMP1095-07</v>
      </c>
      <c r="F1065" s="60">
        <f>COUNTIF(tbl_performance[employee_month_key],tbl_performance[[#This Row],[employee_month_key]])</f>
        <v>1</v>
      </c>
      <c r="G1065" s="61">
        <f>tbl_performance[[#This Row],[achieved]]/tbl_performance[[#This Row],[target]]</f>
        <v>1.0513513513513513</v>
      </c>
      <c r="H1065" s="60" t="str" cm="1">
        <f t="array" ref="H1065">_xlfn.IFS(tbl_performance[[#This Row],[performance_pct]]&gt;=1.1,"Excellent",tbl_performance[[#This Row],[performance_pct]]&gt;=1,"Good",tbl_performance[[#This Row],[performance_pct]]&gt;=0.85,"Average",TRUE,"Poor")</f>
        <v>Good</v>
      </c>
    </row>
    <row r="1066" spans="1:8" ht="19.8" x14ac:dyDescent="0.65">
      <c r="A1066" s="58" t="s">
        <v>225</v>
      </c>
      <c r="B1066" s="59">
        <v>45870</v>
      </c>
      <c r="C1066" s="60">
        <v>359</v>
      </c>
      <c r="D1066" s="60">
        <v>394</v>
      </c>
      <c r="E1066" s="60" t="str">
        <f>tbl_performance[[#This Row],[employee_id]]&amp;"-"&amp;TEXT(tbl_performance[[#This Row],[month]],"mm")</f>
        <v>EMP1095-08</v>
      </c>
      <c r="F1066" s="60">
        <f>COUNTIF(tbl_performance[employee_month_key],tbl_performance[[#This Row],[employee_month_key]])</f>
        <v>1</v>
      </c>
      <c r="G1066" s="61">
        <f>tbl_performance[[#This Row],[achieved]]/tbl_performance[[#This Row],[target]]</f>
        <v>1.0974930362116992</v>
      </c>
      <c r="H1066" s="60" t="str" cm="1">
        <f t="array" ref="H1066">_xlfn.IFS(tbl_performance[[#This Row],[performance_pct]]&gt;=1.1,"Excellent",tbl_performance[[#This Row],[performance_pct]]&gt;=1,"Good",tbl_performance[[#This Row],[performance_pct]]&gt;=0.85,"Average",TRUE,"Poor")</f>
        <v>Good</v>
      </c>
    </row>
    <row r="1067" spans="1:8" ht="19.8" x14ac:dyDescent="0.65">
      <c r="A1067" s="58" t="s">
        <v>225</v>
      </c>
      <c r="B1067" s="59">
        <v>45901</v>
      </c>
      <c r="C1067" s="60">
        <v>370</v>
      </c>
      <c r="D1067" s="60">
        <v>421</v>
      </c>
      <c r="E1067" s="60" t="str">
        <f>tbl_performance[[#This Row],[employee_id]]&amp;"-"&amp;TEXT(tbl_performance[[#This Row],[month]],"mm")</f>
        <v>EMP1095-09</v>
      </c>
      <c r="F1067" s="60">
        <f>COUNTIF(tbl_performance[employee_month_key],tbl_performance[[#This Row],[employee_month_key]])</f>
        <v>1</v>
      </c>
      <c r="G1067" s="61">
        <f>tbl_performance[[#This Row],[achieved]]/tbl_performance[[#This Row],[target]]</f>
        <v>1.1378378378378378</v>
      </c>
      <c r="H1067" s="60" t="str" cm="1">
        <f t="array" ref="H106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8" spans="1:8" ht="19.8" x14ac:dyDescent="0.65">
      <c r="A1068" s="58" t="s">
        <v>225</v>
      </c>
      <c r="B1068" s="59">
        <v>45931</v>
      </c>
      <c r="C1068" s="60">
        <v>378</v>
      </c>
      <c r="D1068" s="60">
        <v>418</v>
      </c>
      <c r="E1068" s="60" t="str">
        <f>tbl_performance[[#This Row],[employee_id]]&amp;"-"&amp;TEXT(tbl_performance[[#This Row],[month]],"mm")</f>
        <v>EMP1095-10</v>
      </c>
      <c r="F1068" s="60">
        <f>COUNTIF(tbl_performance[employee_month_key],tbl_performance[[#This Row],[employee_month_key]])</f>
        <v>1</v>
      </c>
      <c r="G1068" s="61">
        <f>tbl_performance[[#This Row],[achieved]]/tbl_performance[[#This Row],[target]]</f>
        <v>1.1058201058201058</v>
      </c>
      <c r="H1068" s="60" t="str" cm="1">
        <f t="array" ref="H106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69" spans="1:8" ht="19.8" x14ac:dyDescent="0.65">
      <c r="A1069" s="58" t="s">
        <v>225</v>
      </c>
      <c r="B1069" s="59">
        <v>45962</v>
      </c>
      <c r="C1069" s="60">
        <v>370</v>
      </c>
      <c r="D1069" s="60">
        <v>458</v>
      </c>
      <c r="E1069" s="60" t="str">
        <f>tbl_performance[[#This Row],[employee_id]]&amp;"-"&amp;TEXT(tbl_performance[[#This Row],[month]],"mm")</f>
        <v>EMP1095-11</v>
      </c>
      <c r="F1069" s="60">
        <f>COUNTIF(tbl_performance[employee_month_key],tbl_performance[[#This Row],[employee_month_key]])</f>
        <v>1</v>
      </c>
      <c r="G1069" s="61">
        <f>tbl_performance[[#This Row],[achieved]]/tbl_performance[[#This Row],[target]]</f>
        <v>1.2378378378378379</v>
      </c>
      <c r="H1069" s="60" t="str" cm="1">
        <f t="array" ref="H1069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70" spans="1:8" ht="19.8" x14ac:dyDescent="0.65">
      <c r="A1070" s="58" t="s">
        <v>225</v>
      </c>
      <c r="B1070" s="59">
        <v>45992</v>
      </c>
      <c r="C1070" s="60">
        <v>315</v>
      </c>
      <c r="D1070" s="60">
        <v>326</v>
      </c>
      <c r="E1070" s="60" t="str">
        <f>tbl_performance[[#This Row],[employee_id]]&amp;"-"&amp;TEXT(tbl_performance[[#This Row],[month]],"mm")</f>
        <v>EMP1095-12</v>
      </c>
      <c r="F1070" s="60">
        <f>COUNTIF(tbl_performance[employee_month_key],tbl_performance[[#This Row],[employee_month_key]])</f>
        <v>1</v>
      </c>
      <c r="G1070" s="61">
        <f>tbl_performance[[#This Row],[achieved]]/tbl_performance[[#This Row],[target]]</f>
        <v>1.034920634920635</v>
      </c>
      <c r="H1070" s="60" t="str" cm="1">
        <f t="array" ref="H1070">_xlfn.IFS(tbl_performance[[#This Row],[performance_pct]]&gt;=1.1,"Excellent",tbl_performance[[#This Row],[performance_pct]]&gt;=1,"Good",tbl_performance[[#This Row],[performance_pct]]&gt;=0.85,"Average",TRUE,"Poor")</f>
        <v>Good</v>
      </c>
    </row>
    <row r="1071" spans="1:8" ht="19.8" x14ac:dyDescent="0.65">
      <c r="A1071" s="58" t="s">
        <v>227</v>
      </c>
      <c r="B1071" s="59">
        <v>45658</v>
      </c>
      <c r="C1071" s="60">
        <v>40816</v>
      </c>
      <c r="D1071" s="60">
        <v>30472</v>
      </c>
      <c r="E1071" s="60" t="str">
        <f>tbl_performance[[#This Row],[employee_id]]&amp;"-"&amp;TEXT(tbl_performance[[#This Row],[month]],"mm")</f>
        <v>EMP1096-01</v>
      </c>
      <c r="F1071" s="60">
        <f>COUNTIF(tbl_performance[employee_month_key],tbl_performance[[#This Row],[employee_month_key]])</f>
        <v>1</v>
      </c>
      <c r="G1071" s="61">
        <f>tbl_performance[[#This Row],[achieved]]/tbl_performance[[#This Row],[target]]</f>
        <v>0.74656997255978053</v>
      </c>
      <c r="H1071" s="60" t="str" cm="1">
        <f t="array" ref="H1071">_xlfn.IFS(tbl_performance[[#This Row],[performance_pct]]&gt;=1.1,"Excellent",tbl_performance[[#This Row],[performance_pct]]&gt;=1,"Good",tbl_performance[[#This Row],[performance_pct]]&gt;=0.85,"Average",TRUE,"Poor")</f>
        <v>Poor</v>
      </c>
    </row>
    <row r="1072" spans="1:8" ht="19.8" x14ac:dyDescent="0.65">
      <c r="A1072" s="58" t="s">
        <v>227</v>
      </c>
      <c r="B1072" s="59">
        <v>45689</v>
      </c>
      <c r="C1072" s="60">
        <v>37959</v>
      </c>
      <c r="D1072" s="60">
        <v>34081</v>
      </c>
      <c r="E1072" s="60" t="str">
        <f>tbl_performance[[#This Row],[employee_id]]&amp;"-"&amp;TEXT(tbl_performance[[#This Row],[month]],"mm")</f>
        <v>EMP1096-02</v>
      </c>
      <c r="F1072" s="60">
        <f>COUNTIF(tbl_performance[employee_month_key],tbl_performance[[#This Row],[employee_month_key]])</f>
        <v>1</v>
      </c>
      <c r="G1072" s="61">
        <f>tbl_performance[[#This Row],[achieved]]/tbl_performance[[#This Row],[target]]</f>
        <v>0.89783714007218318</v>
      </c>
      <c r="H1072" s="60" t="str" cm="1">
        <f t="array" ref="H1072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73" spans="1:8" ht="19.8" x14ac:dyDescent="0.65">
      <c r="A1073" s="58" t="s">
        <v>227</v>
      </c>
      <c r="B1073" s="59">
        <v>45717</v>
      </c>
      <c r="C1073" s="60">
        <v>41632</v>
      </c>
      <c r="D1073" s="60">
        <v>35366</v>
      </c>
      <c r="E1073" s="60" t="str">
        <f>tbl_performance[[#This Row],[employee_id]]&amp;"-"&amp;TEXT(tbl_performance[[#This Row],[month]],"mm")</f>
        <v>EMP1096-03</v>
      </c>
      <c r="F1073" s="60">
        <f>COUNTIF(tbl_performance[employee_month_key],tbl_performance[[#This Row],[employee_month_key]])</f>
        <v>1</v>
      </c>
      <c r="G1073" s="61">
        <f>tbl_performance[[#This Row],[achieved]]/tbl_performance[[#This Row],[target]]</f>
        <v>0.8494907763259032</v>
      </c>
      <c r="H1073" s="60" t="str" cm="1">
        <f t="array" ref="H1073">_xlfn.IFS(tbl_performance[[#This Row],[performance_pct]]&gt;=1.1,"Excellent",tbl_performance[[#This Row],[performance_pct]]&gt;=1,"Good",tbl_performance[[#This Row],[performance_pct]]&gt;=0.85,"Average",TRUE,"Poor")</f>
        <v>Poor</v>
      </c>
    </row>
    <row r="1074" spans="1:8" ht="19.8" x14ac:dyDescent="0.65">
      <c r="A1074" s="58" t="s">
        <v>227</v>
      </c>
      <c r="B1074" s="59">
        <v>45748</v>
      </c>
      <c r="C1074" s="60">
        <v>40816</v>
      </c>
      <c r="D1074" s="60">
        <v>35402</v>
      </c>
      <c r="E1074" s="60" t="str">
        <f>tbl_performance[[#This Row],[employee_id]]&amp;"-"&amp;TEXT(tbl_performance[[#This Row],[month]],"mm")</f>
        <v>EMP1096-04</v>
      </c>
      <c r="F1074" s="60">
        <f>COUNTIF(tbl_performance[employee_month_key],tbl_performance[[#This Row],[employee_month_key]])</f>
        <v>1</v>
      </c>
      <c r="G1074" s="61">
        <f>tbl_performance[[#This Row],[achieved]]/tbl_performance[[#This Row],[target]]</f>
        <v>0.86735593884751083</v>
      </c>
      <c r="H1074" s="60" t="str" cm="1">
        <f t="array" ref="H107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75" spans="1:8" ht="19.8" x14ac:dyDescent="0.65">
      <c r="A1075" s="58" t="s">
        <v>227</v>
      </c>
      <c r="B1075" s="59">
        <v>45778</v>
      </c>
      <c r="C1075" s="60">
        <v>40816</v>
      </c>
      <c r="D1075" s="60">
        <v>43489</v>
      </c>
      <c r="E1075" s="60" t="str">
        <f>tbl_performance[[#This Row],[employee_id]]&amp;"-"&amp;TEXT(tbl_performance[[#This Row],[month]],"mm")</f>
        <v>EMP1096-05</v>
      </c>
      <c r="F1075" s="60">
        <f>COUNTIF(tbl_performance[employee_month_key],tbl_performance[[#This Row],[employee_month_key]])</f>
        <v>1</v>
      </c>
      <c r="G1075" s="61">
        <f>tbl_performance[[#This Row],[achieved]]/tbl_performance[[#This Row],[target]]</f>
        <v>1.0654890239121912</v>
      </c>
      <c r="H1075" s="60" t="str" cm="1">
        <f t="array" ref="H1075">_xlfn.IFS(tbl_performance[[#This Row],[performance_pct]]&gt;=1.1,"Excellent",tbl_performance[[#This Row],[performance_pct]]&gt;=1,"Good",tbl_performance[[#This Row],[performance_pct]]&gt;=0.85,"Average",TRUE,"Poor")</f>
        <v>Good</v>
      </c>
    </row>
    <row r="1076" spans="1:8" ht="19.8" x14ac:dyDescent="0.65">
      <c r="A1076" s="58" t="s">
        <v>227</v>
      </c>
      <c r="B1076" s="59">
        <v>45809</v>
      </c>
      <c r="C1076" s="60">
        <v>40000</v>
      </c>
      <c r="D1076" s="60">
        <v>42082</v>
      </c>
      <c r="E1076" s="60" t="str">
        <f>tbl_performance[[#This Row],[employee_id]]&amp;"-"&amp;TEXT(tbl_performance[[#This Row],[month]],"mm")</f>
        <v>EMP1096-06</v>
      </c>
      <c r="F1076" s="60">
        <f>COUNTIF(tbl_performance[employee_month_key],tbl_performance[[#This Row],[employee_month_key]])</f>
        <v>1</v>
      </c>
      <c r="G1076" s="61">
        <f>tbl_performance[[#This Row],[achieved]]/tbl_performance[[#This Row],[target]]</f>
        <v>1.0520499999999999</v>
      </c>
      <c r="H1076" s="60" t="str" cm="1">
        <f t="array" ref="H1076">_xlfn.IFS(tbl_performance[[#This Row],[performance_pct]]&gt;=1.1,"Excellent",tbl_performance[[#This Row],[performance_pct]]&gt;=1,"Good",tbl_performance[[#This Row],[performance_pct]]&gt;=0.85,"Average",TRUE,"Poor")</f>
        <v>Good</v>
      </c>
    </row>
    <row r="1077" spans="1:8" ht="19.8" x14ac:dyDescent="0.65">
      <c r="A1077" s="58" t="s">
        <v>227</v>
      </c>
      <c r="B1077" s="59">
        <v>45839</v>
      </c>
      <c r="C1077" s="60">
        <v>40816</v>
      </c>
      <c r="D1077" s="60">
        <v>41012</v>
      </c>
      <c r="E1077" s="60" t="str">
        <f>tbl_performance[[#This Row],[employee_id]]&amp;"-"&amp;TEXT(tbl_performance[[#This Row],[month]],"mm")</f>
        <v>EMP1096-07</v>
      </c>
      <c r="F1077" s="60">
        <f>COUNTIF(tbl_performance[employee_month_key],tbl_performance[[#This Row],[employee_month_key]])</f>
        <v>1</v>
      </c>
      <c r="G1077" s="61">
        <f>tbl_performance[[#This Row],[achieved]]/tbl_performance[[#This Row],[target]]</f>
        <v>1.0048020384163072</v>
      </c>
      <c r="H1077" s="60" t="str" cm="1">
        <f t="array" ref="H1077">_xlfn.IFS(tbl_performance[[#This Row],[performance_pct]]&gt;=1.1,"Excellent",tbl_performance[[#This Row],[performance_pct]]&gt;=1,"Good",tbl_performance[[#This Row],[performance_pct]]&gt;=0.85,"Average",TRUE,"Poor")</f>
        <v>Good</v>
      </c>
    </row>
    <row r="1078" spans="1:8" ht="19.8" x14ac:dyDescent="0.65">
      <c r="A1078" s="58" t="s">
        <v>227</v>
      </c>
      <c r="B1078" s="59">
        <v>45870</v>
      </c>
      <c r="C1078" s="60">
        <v>39592</v>
      </c>
      <c r="D1078" s="60">
        <v>33086</v>
      </c>
      <c r="E1078" s="60" t="str">
        <f>tbl_performance[[#This Row],[employee_id]]&amp;"-"&amp;TEXT(tbl_performance[[#This Row],[month]],"mm")</f>
        <v>EMP1096-08</v>
      </c>
      <c r="F1078" s="60">
        <f>COUNTIF(tbl_performance[employee_month_key],tbl_performance[[#This Row],[employee_month_key]])</f>
        <v>1</v>
      </c>
      <c r="G1078" s="61">
        <f>tbl_performance[[#This Row],[achieved]]/tbl_performance[[#This Row],[target]]</f>
        <v>0.83567387350979994</v>
      </c>
      <c r="H1078" s="60" t="str" cm="1">
        <f t="array" ref="H1078">_xlfn.IFS(tbl_performance[[#This Row],[performance_pct]]&gt;=1.1,"Excellent",tbl_performance[[#This Row],[performance_pct]]&gt;=1,"Good",tbl_performance[[#This Row],[performance_pct]]&gt;=0.85,"Average",TRUE,"Poor")</f>
        <v>Poor</v>
      </c>
    </row>
    <row r="1079" spans="1:8" ht="19.8" x14ac:dyDescent="0.65">
      <c r="A1079" s="58" t="s">
        <v>227</v>
      </c>
      <c r="B1079" s="59">
        <v>45901</v>
      </c>
      <c r="C1079" s="60">
        <v>40816</v>
      </c>
      <c r="D1079" s="60">
        <v>37318</v>
      </c>
      <c r="E1079" s="60" t="str">
        <f>tbl_performance[[#This Row],[employee_id]]&amp;"-"&amp;TEXT(tbl_performance[[#This Row],[month]],"mm")</f>
        <v>EMP1096-09</v>
      </c>
      <c r="F1079" s="60">
        <f>COUNTIF(tbl_performance[employee_month_key],tbl_performance[[#This Row],[employee_month_key]])</f>
        <v>1</v>
      </c>
      <c r="G1079" s="61">
        <f>tbl_performance[[#This Row],[achieved]]/tbl_performance[[#This Row],[target]]</f>
        <v>0.9142983143865151</v>
      </c>
      <c r="H1079" s="60" t="str" cm="1">
        <f t="array" ref="H107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80" spans="1:8" ht="19.8" x14ac:dyDescent="0.65">
      <c r="A1080" s="58" t="s">
        <v>227</v>
      </c>
      <c r="B1080" s="59">
        <v>45931</v>
      </c>
      <c r="C1080" s="60">
        <v>41632</v>
      </c>
      <c r="D1080" s="60">
        <v>44473</v>
      </c>
      <c r="E1080" s="60" t="str">
        <f>tbl_performance[[#This Row],[employee_id]]&amp;"-"&amp;TEXT(tbl_performance[[#This Row],[month]],"mm")</f>
        <v>EMP1096-10</v>
      </c>
      <c r="F1080" s="60">
        <f>COUNTIF(tbl_performance[employee_month_key],tbl_performance[[#This Row],[employee_month_key]])</f>
        <v>1</v>
      </c>
      <c r="G1080" s="61">
        <f>tbl_performance[[#This Row],[achieved]]/tbl_performance[[#This Row],[target]]</f>
        <v>1.0682407763259032</v>
      </c>
      <c r="H1080" s="60" t="str" cm="1">
        <f t="array" ref="H1080">_xlfn.IFS(tbl_performance[[#This Row],[performance_pct]]&gt;=1.1,"Excellent",tbl_performance[[#This Row],[performance_pct]]&gt;=1,"Good",tbl_performance[[#This Row],[performance_pct]]&gt;=0.85,"Average",TRUE,"Poor")</f>
        <v>Good</v>
      </c>
    </row>
    <row r="1081" spans="1:8" ht="19.8" x14ac:dyDescent="0.65">
      <c r="A1081" s="58" t="s">
        <v>227</v>
      </c>
      <c r="B1081" s="59">
        <v>45962</v>
      </c>
      <c r="C1081" s="60">
        <v>40816</v>
      </c>
      <c r="D1081" s="60">
        <v>43351</v>
      </c>
      <c r="E1081" s="60" t="str">
        <f>tbl_performance[[#This Row],[employee_id]]&amp;"-"&amp;TEXT(tbl_performance[[#This Row],[month]],"mm")</f>
        <v>EMP1096-11</v>
      </c>
      <c r="F1081" s="60">
        <f>COUNTIF(tbl_performance[employee_month_key],tbl_performance[[#This Row],[employee_month_key]])</f>
        <v>1</v>
      </c>
      <c r="G1081" s="61">
        <f>tbl_performance[[#This Row],[achieved]]/tbl_performance[[#This Row],[target]]</f>
        <v>1.0621079968639748</v>
      </c>
      <c r="H1081" s="60" t="str" cm="1">
        <f t="array" ref="H1081">_xlfn.IFS(tbl_performance[[#This Row],[performance_pct]]&gt;=1.1,"Excellent",tbl_performance[[#This Row],[performance_pct]]&gt;=1,"Good",tbl_performance[[#This Row],[performance_pct]]&gt;=0.85,"Average",TRUE,"Poor")</f>
        <v>Good</v>
      </c>
    </row>
    <row r="1082" spans="1:8" ht="19.8" x14ac:dyDescent="0.65">
      <c r="A1082" s="58" t="s">
        <v>227</v>
      </c>
      <c r="B1082" s="59">
        <v>45992</v>
      </c>
      <c r="C1082" s="60">
        <v>34694</v>
      </c>
      <c r="D1082" s="60">
        <v>45826</v>
      </c>
      <c r="E1082" s="60" t="str">
        <f>tbl_performance[[#This Row],[employee_id]]&amp;"-"&amp;TEXT(tbl_performance[[#This Row],[month]],"mm")</f>
        <v>EMP1096-12</v>
      </c>
      <c r="F1082" s="60">
        <f>COUNTIF(tbl_performance[employee_month_key],tbl_performance[[#This Row],[employee_month_key]])</f>
        <v>1</v>
      </c>
      <c r="G1082" s="61">
        <f>tbl_performance[[#This Row],[achieved]]/tbl_performance[[#This Row],[target]]</f>
        <v>1.3208623969562461</v>
      </c>
      <c r="H1082" s="60" t="str" cm="1">
        <f t="array" ref="H1082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83" spans="1:8" ht="19.8" x14ac:dyDescent="0.65">
      <c r="A1083" s="58" t="s">
        <v>229</v>
      </c>
      <c r="B1083" s="59">
        <v>45658</v>
      </c>
      <c r="C1083" s="60">
        <v>84</v>
      </c>
      <c r="D1083" s="60">
        <v>88</v>
      </c>
      <c r="E1083" s="60" t="str">
        <f>tbl_performance[[#This Row],[employee_id]]&amp;"-"&amp;TEXT(tbl_performance[[#This Row],[month]],"mm")</f>
        <v>EMP1097-01</v>
      </c>
      <c r="F1083" s="60">
        <f>COUNTIF(tbl_performance[employee_month_key],tbl_performance[[#This Row],[employee_month_key]])</f>
        <v>1</v>
      </c>
      <c r="G1083" s="61">
        <f>tbl_performance[[#This Row],[achieved]]/tbl_performance[[#This Row],[target]]</f>
        <v>1.0476190476190477</v>
      </c>
      <c r="H1083" s="60" t="str" cm="1">
        <f t="array" ref="H1083">_xlfn.IFS(tbl_performance[[#This Row],[performance_pct]]&gt;=1.1,"Excellent",tbl_performance[[#This Row],[performance_pct]]&gt;=1,"Good",tbl_performance[[#This Row],[performance_pct]]&gt;=0.85,"Average",TRUE,"Poor")</f>
        <v>Good</v>
      </c>
    </row>
    <row r="1084" spans="1:8" ht="19.8" x14ac:dyDescent="0.65">
      <c r="A1084" s="58" t="s">
        <v>229</v>
      </c>
      <c r="B1084" s="59">
        <v>45689</v>
      </c>
      <c r="C1084" s="60">
        <v>78</v>
      </c>
      <c r="D1084" s="60">
        <v>79</v>
      </c>
      <c r="E1084" s="60" t="str">
        <f>tbl_performance[[#This Row],[employee_id]]&amp;"-"&amp;TEXT(tbl_performance[[#This Row],[month]],"mm")</f>
        <v>EMP1097-02</v>
      </c>
      <c r="F1084" s="60">
        <f>COUNTIF(tbl_performance[employee_month_key],tbl_performance[[#This Row],[employee_month_key]])</f>
        <v>1</v>
      </c>
      <c r="G1084" s="61">
        <f>tbl_performance[[#This Row],[achieved]]/tbl_performance[[#This Row],[target]]</f>
        <v>1.0128205128205128</v>
      </c>
      <c r="H1084" s="60" t="str" cm="1">
        <f t="array" ref="H1084">_xlfn.IFS(tbl_performance[[#This Row],[performance_pct]]&gt;=1.1,"Excellent",tbl_performance[[#This Row],[performance_pct]]&gt;=1,"Good",tbl_performance[[#This Row],[performance_pct]]&gt;=0.85,"Average",TRUE,"Poor")</f>
        <v>Good</v>
      </c>
    </row>
    <row r="1085" spans="1:8" ht="19.8" x14ac:dyDescent="0.65">
      <c r="A1085" s="58" t="s">
        <v>229</v>
      </c>
      <c r="B1085" s="59">
        <v>45717</v>
      </c>
      <c r="C1085" s="60">
        <v>86</v>
      </c>
      <c r="D1085" s="60">
        <v>97</v>
      </c>
      <c r="E1085" s="60" t="str">
        <f>tbl_performance[[#This Row],[employee_id]]&amp;"-"&amp;TEXT(tbl_performance[[#This Row],[month]],"mm")</f>
        <v>EMP1097-03</v>
      </c>
      <c r="F1085" s="60">
        <f>COUNTIF(tbl_performance[employee_month_key],tbl_performance[[#This Row],[employee_month_key]])</f>
        <v>1</v>
      </c>
      <c r="G1085" s="61">
        <f>tbl_performance[[#This Row],[achieved]]/tbl_performance[[#This Row],[target]]</f>
        <v>1.1279069767441861</v>
      </c>
      <c r="H1085" s="60" t="str" cm="1">
        <f t="array" ref="H108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86" spans="1:8" ht="19.8" x14ac:dyDescent="0.65">
      <c r="A1086" s="58" t="s">
        <v>229</v>
      </c>
      <c r="B1086" s="59">
        <v>45748</v>
      </c>
      <c r="C1086" s="60">
        <v>84</v>
      </c>
      <c r="D1086" s="60">
        <v>86</v>
      </c>
      <c r="E1086" s="60" t="str">
        <f>tbl_performance[[#This Row],[employee_id]]&amp;"-"&amp;TEXT(tbl_performance[[#This Row],[month]],"mm")</f>
        <v>EMP1097-04</v>
      </c>
      <c r="F1086" s="60">
        <f>COUNTIF(tbl_performance[employee_month_key],tbl_performance[[#This Row],[employee_month_key]])</f>
        <v>1</v>
      </c>
      <c r="G1086" s="61">
        <f>tbl_performance[[#This Row],[achieved]]/tbl_performance[[#This Row],[target]]</f>
        <v>1.0238095238095237</v>
      </c>
      <c r="H1086" s="60" t="str" cm="1">
        <f t="array" ref="H1086">_xlfn.IFS(tbl_performance[[#This Row],[performance_pct]]&gt;=1.1,"Excellent",tbl_performance[[#This Row],[performance_pct]]&gt;=1,"Good",tbl_performance[[#This Row],[performance_pct]]&gt;=0.85,"Average",TRUE,"Poor")</f>
        <v>Good</v>
      </c>
    </row>
    <row r="1087" spans="1:8" ht="19.8" x14ac:dyDescent="0.65">
      <c r="A1087" s="58" t="s">
        <v>229</v>
      </c>
      <c r="B1087" s="59">
        <v>45778</v>
      </c>
      <c r="C1087" s="60">
        <v>84</v>
      </c>
      <c r="D1087" s="60">
        <v>91</v>
      </c>
      <c r="E1087" s="60" t="str">
        <f>tbl_performance[[#This Row],[employee_id]]&amp;"-"&amp;TEXT(tbl_performance[[#This Row],[month]],"mm")</f>
        <v>EMP1097-05</v>
      </c>
      <c r="F1087" s="60">
        <f>COUNTIF(tbl_performance[employee_month_key],tbl_performance[[#This Row],[employee_month_key]])</f>
        <v>1</v>
      </c>
      <c r="G1087" s="61">
        <f>tbl_performance[[#This Row],[achieved]]/tbl_performance[[#This Row],[target]]</f>
        <v>1.0833333333333333</v>
      </c>
      <c r="H1087" s="60" t="str" cm="1">
        <f t="array" ref="H1087">_xlfn.IFS(tbl_performance[[#This Row],[performance_pct]]&gt;=1.1,"Excellent",tbl_performance[[#This Row],[performance_pct]]&gt;=1,"Good",tbl_performance[[#This Row],[performance_pct]]&gt;=0.85,"Average",TRUE,"Poor")</f>
        <v>Good</v>
      </c>
    </row>
    <row r="1088" spans="1:8" ht="19.8" x14ac:dyDescent="0.65">
      <c r="A1088" s="58" t="s">
        <v>229</v>
      </c>
      <c r="B1088" s="59">
        <v>45809</v>
      </c>
      <c r="C1088" s="60">
        <v>83</v>
      </c>
      <c r="D1088" s="60">
        <v>95</v>
      </c>
      <c r="E1088" s="60" t="str">
        <f>tbl_performance[[#This Row],[employee_id]]&amp;"-"&amp;TEXT(tbl_performance[[#This Row],[month]],"mm")</f>
        <v>EMP1097-06</v>
      </c>
      <c r="F1088" s="60">
        <f>COUNTIF(tbl_performance[employee_month_key],tbl_performance[[#This Row],[employee_month_key]])</f>
        <v>1</v>
      </c>
      <c r="G1088" s="61">
        <f>tbl_performance[[#This Row],[achieved]]/tbl_performance[[#This Row],[target]]</f>
        <v>1.1445783132530121</v>
      </c>
      <c r="H1088" s="60" t="str" cm="1">
        <f t="array" ref="H1088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89" spans="1:8" ht="19.8" x14ac:dyDescent="0.65">
      <c r="A1089" s="58" t="s">
        <v>229</v>
      </c>
      <c r="B1089" s="59">
        <v>45839</v>
      </c>
      <c r="C1089" s="60">
        <v>84</v>
      </c>
      <c r="D1089" s="60">
        <v>82</v>
      </c>
      <c r="E1089" s="60" t="str">
        <f>tbl_performance[[#This Row],[employee_id]]&amp;"-"&amp;TEXT(tbl_performance[[#This Row],[month]],"mm")</f>
        <v>EMP1097-07</v>
      </c>
      <c r="F1089" s="60">
        <f>COUNTIF(tbl_performance[employee_month_key],tbl_performance[[#This Row],[employee_month_key]])</f>
        <v>1</v>
      </c>
      <c r="G1089" s="61">
        <f>tbl_performance[[#This Row],[achieved]]/tbl_performance[[#This Row],[target]]</f>
        <v>0.97619047619047616</v>
      </c>
      <c r="H1089" s="60" t="str" cm="1">
        <f t="array" ref="H1089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0" spans="1:8" ht="19.8" x14ac:dyDescent="0.65">
      <c r="A1090" s="58" t="s">
        <v>229</v>
      </c>
      <c r="B1090" s="59">
        <v>45870</v>
      </c>
      <c r="C1090" s="60">
        <v>82</v>
      </c>
      <c r="D1090" s="60">
        <v>77</v>
      </c>
      <c r="E1090" s="60" t="str">
        <f>tbl_performance[[#This Row],[employee_id]]&amp;"-"&amp;TEXT(tbl_performance[[#This Row],[month]],"mm")</f>
        <v>EMP1097-08</v>
      </c>
      <c r="F1090" s="60">
        <f>COUNTIF(tbl_performance[employee_month_key],tbl_performance[[#This Row],[employee_month_key]])</f>
        <v>1</v>
      </c>
      <c r="G1090" s="61">
        <f>tbl_performance[[#This Row],[achieved]]/tbl_performance[[#This Row],[target]]</f>
        <v>0.93902439024390238</v>
      </c>
      <c r="H1090" s="60" t="str" cm="1">
        <f t="array" ref="H1090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1" spans="1:8" ht="19.8" x14ac:dyDescent="0.65">
      <c r="A1091" s="58" t="s">
        <v>229</v>
      </c>
      <c r="B1091" s="59">
        <v>45901</v>
      </c>
      <c r="C1091" s="60">
        <v>84</v>
      </c>
      <c r="D1091" s="60">
        <v>76</v>
      </c>
      <c r="E1091" s="60" t="str">
        <f>tbl_performance[[#This Row],[employee_id]]&amp;"-"&amp;TEXT(tbl_performance[[#This Row],[month]],"mm")</f>
        <v>EMP1097-09</v>
      </c>
      <c r="F1091" s="60">
        <f>COUNTIF(tbl_performance[employee_month_key],tbl_performance[[#This Row],[employee_month_key]])</f>
        <v>1</v>
      </c>
      <c r="G1091" s="61">
        <f>tbl_performance[[#This Row],[achieved]]/tbl_performance[[#This Row],[target]]</f>
        <v>0.90476190476190477</v>
      </c>
      <c r="H1091" s="60" t="str" cm="1">
        <f t="array" ref="H109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2" spans="1:8" ht="19.8" x14ac:dyDescent="0.65">
      <c r="A1092" s="58" t="s">
        <v>229</v>
      </c>
      <c r="B1092" s="59">
        <v>45931</v>
      </c>
      <c r="C1092" s="60">
        <v>86</v>
      </c>
      <c r="D1092" s="60">
        <v>92</v>
      </c>
      <c r="E1092" s="60" t="str">
        <f>tbl_performance[[#This Row],[employee_id]]&amp;"-"&amp;TEXT(tbl_performance[[#This Row],[month]],"mm")</f>
        <v>EMP1097-10</v>
      </c>
      <c r="F1092" s="60">
        <f>COUNTIF(tbl_performance[employee_month_key],tbl_performance[[#This Row],[employee_month_key]])</f>
        <v>1</v>
      </c>
      <c r="G1092" s="61">
        <f>tbl_performance[[#This Row],[achieved]]/tbl_performance[[#This Row],[target]]</f>
        <v>1.069767441860465</v>
      </c>
      <c r="H1092" s="60" t="str" cm="1">
        <f t="array" ref="H1092">_xlfn.IFS(tbl_performance[[#This Row],[performance_pct]]&gt;=1.1,"Excellent",tbl_performance[[#This Row],[performance_pct]]&gt;=1,"Good",tbl_performance[[#This Row],[performance_pct]]&gt;=0.85,"Average",TRUE,"Poor")</f>
        <v>Good</v>
      </c>
    </row>
    <row r="1093" spans="1:8" ht="19.8" x14ac:dyDescent="0.65">
      <c r="A1093" s="58" t="s">
        <v>229</v>
      </c>
      <c r="B1093" s="59">
        <v>45962</v>
      </c>
      <c r="C1093" s="60">
        <v>84</v>
      </c>
      <c r="D1093" s="60">
        <v>89</v>
      </c>
      <c r="E1093" s="60" t="str">
        <f>tbl_performance[[#This Row],[employee_id]]&amp;"-"&amp;TEXT(tbl_performance[[#This Row],[month]],"mm")</f>
        <v>EMP1097-11</v>
      </c>
      <c r="F1093" s="60">
        <f>COUNTIF(tbl_performance[employee_month_key],tbl_performance[[#This Row],[employee_month_key]])</f>
        <v>1</v>
      </c>
      <c r="G1093" s="61">
        <f>tbl_performance[[#This Row],[achieved]]/tbl_performance[[#This Row],[target]]</f>
        <v>1.0595238095238095</v>
      </c>
      <c r="H1093" s="60" t="str" cm="1">
        <f t="array" ref="H1093">_xlfn.IFS(tbl_performance[[#This Row],[performance_pct]]&gt;=1.1,"Excellent",tbl_performance[[#This Row],[performance_pct]]&gt;=1,"Good",tbl_performance[[#This Row],[performance_pct]]&gt;=0.85,"Average",TRUE,"Poor")</f>
        <v>Good</v>
      </c>
    </row>
    <row r="1094" spans="1:8" ht="19.8" x14ac:dyDescent="0.65">
      <c r="A1094" s="58" t="s">
        <v>229</v>
      </c>
      <c r="B1094" s="59">
        <v>45992</v>
      </c>
      <c r="C1094" s="60">
        <v>72</v>
      </c>
      <c r="D1094" s="60">
        <v>64</v>
      </c>
      <c r="E1094" s="60" t="str">
        <f>tbl_performance[[#This Row],[employee_id]]&amp;"-"&amp;TEXT(tbl_performance[[#This Row],[month]],"mm")</f>
        <v>EMP1097-12</v>
      </c>
      <c r="F1094" s="60">
        <f>COUNTIF(tbl_performance[employee_month_key],tbl_performance[[#This Row],[employee_month_key]])</f>
        <v>1</v>
      </c>
      <c r="G1094" s="61">
        <f>tbl_performance[[#This Row],[achieved]]/tbl_performance[[#This Row],[target]]</f>
        <v>0.88888888888888884</v>
      </c>
      <c r="H1094" s="60" t="str" cm="1">
        <f t="array" ref="H109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5" spans="1:8" ht="19.8" x14ac:dyDescent="0.65">
      <c r="A1095" s="58" t="s">
        <v>231</v>
      </c>
      <c r="B1095" s="59">
        <v>45658</v>
      </c>
      <c r="C1095" s="60">
        <v>169790</v>
      </c>
      <c r="D1095" s="60">
        <v>208151</v>
      </c>
      <c r="E1095" s="60" t="str">
        <f>tbl_performance[[#This Row],[employee_id]]&amp;"-"&amp;TEXT(tbl_performance[[#This Row],[month]],"mm")</f>
        <v>EMP1098-01</v>
      </c>
      <c r="F1095" s="60">
        <f>COUNTIF(tbl_performance[employee_month_key],tbl_performance[[#This Row],[employee_month_key]])</f>
        <v>1</v>
      </c>
      <c r="G1095" s="61">
        <f>tbl_performance[[#This Row],[achieved]]/tbl_performance[[#This Row],[target]]</f>
        <v>1.2259320336886743</v>
      </c>
      <c r="H1095" s="60" t="str" cm="1">
        <f t="array" ref="H109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96" spans="1:8" ht="19.8" x14ac:dyDescent="0.65">
      <c r="A1096" s="58" t="s">
        <v>231</v>
      </c>
      <c r="B1096" s="59">
        <v>45689</v>
      </c>
      <c r="C1096" s="60">
        <v>157905</v>
      </c>
      <c r="D1096" s="60">
        <v>157277</v>
      </c>
      <c r="E1096" s="60" t="str">
        <f>tbl_performance[[#This Row],[employee_id]]&amp;"-"&amp;TEXT(tbl_performance[[#This Row],[month]],"mm")</f>
        <v>EMP1098-02</v>
      </c>
      <c r="F1096" s="60">
        <f>COUNTIF(tbl_performance[employee_month_key],tbl_performance[[#This Row],[employee_month_key]])</f>
        <v>1</v>
      </c>
      <c r="G1096" s="61">
        <f>tbl_performance[[#This Row],[achieved]]/tbl_performance[[#This Row],[target]]</f>
        <v>0.99602292517653024</v>
      </c>
      <c r="H1096" s="60" t="str" cm="1">
        <f t="array" ref="H1096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097" spans="1:8" ht="19.8" x14ac:dyDescent="0.65">
      <c r="A1097" s="58" t="s">
        <v>231</v>
      </c>
      <c r="B1097" s="59">
        <v>45717</v>
      </c>
      <c r="C1097" s="60">
        <v>173186</v>
      </c>
      <c r="D1097" s="60">
        <v>192319</v>
      </c>
      <c r="E1097" s="60" t="str">
        <f>tbl_performance[[#This Row],[employee_id]]&amp;"-"&amp;TEXT(tbl_performance[[#This Row],[month]],"mm")</f>
        <v>EMP1098-03</v>
      </c>
      <c r="F1097" s="60">
        <f>COUNTIF(tbl_performance[employee_month_key],tbl_performance[[#This Row],[employee_month_key]])</f>
        <v>1</v>
      </c>
      <c r="G1097" s="61">
        <f>tbl_performance[[#This Row],[achieved]]/tbl_performance[[#This Row],[target]]</f>
        <v>1.1104765974154955</v>
      </c>
      <c r="H1097" s="60" t="str" cm="1">
        <f t="array" ref="H1097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098" spans="1:8" ht="19.8" x14ac:dyDescent="0.65">
      <c r="A1098" s="58" t="s">
        <v>231</v>
      </c>
      <c r="B1098" s="59">
        <v>45748</v>
      </c>
      <c r="C1098" s="60">
        <v>169790</v>
      </c>
      <c r="D1098" s="60">
        <v>175701</v>
      </c>
      <c r="E1098" s="60" t="str">
        <f>tbl_performance[[#This Row],[employee_id]]&amp;"-"&amp;TEXT(tbl_performance[[#This Row],[month]],"mm")</f>
        <v>EMP1098-04</v>
      </c>
      <c r="F1098" s="60">
        <f>COUNTIF(tbl_performance[employee_month_key],tbl_performance[[#This Row],[employee_month_key]])</f>
        <v>1</v>
      </c>
      <c r="G1098" s="61">
        <f>tbl_performance[[#This Row],[achieved]]/tbl_performance[[#This Row],[target]]</f>
        <v>1.0348135932622651</v>
      </c>
      <c r="H1098" s="60" t="str" cm="1">
        <f t="array" ref="H1098">_xlfn.IFS(tbl_performance[[#This Row],[performance_pct]]&gt;=1.1,"Excellent",tbl_performance[[#This Row],[performance_pct]]&gt;=1,"Good",tbl_performance[[#This Row],[performance_pct]]&gt;=0.85,"Average",TRUE,"Poor")</f>
        <v>Good</v>
      </c>
    </row>
    <row r="1099" spans="1:8" ht="19.8" x14ac:dyDescent="0.65">
      <c r="A1099" s="58" t="s">
        <v>231</v>
      </c>
      <c r="B1099" s="59">
        <v>45778</v>
      </c>
      <c r="C1099" s="60">
        <v>169790</v>
      </c>
      <c r="D1099" s="60">
        <v>172632</v>
      </c>
      <c r="E1099" s="60" t="str">
        <f>tbl_performance[[#This Row],[employee_id]]&amp;"-"&amp;TEXT(tbl_performance[[#This Row],[month]],"mm")</f>
        <v>EMP1098-05</v>
      </c>
      <c r="F1099" s="60">
        <f>COUNTIF(tbl_performance[employee_month_key],tbl_performance[[#This Row],[employee_month_key]])</f>
        <v>1</v>
      </c>
      <c r="G1099" s="61">
        <f>tbl_performance[[#This Row],[achieved]]/tbl_performance[[#This Row],[target]]</f>
        <v>1.0167383238117675</v>
      </c>
      <c r="H1099" s="60" t="str" cm="1">
        <f t="array" ref="H1099">_xlfn.IFS(tbl_performance[[#This Row],[performance_pct]]&gt;=1.1,"Excellent",tbl_performance[[#This Row],[performance_pct]]&gt;=1,"Good",tbl_performance[[#This Row],[performance_pct]]&gt;=0.85,"Average",TRUE,"Poor")</f>
        <v>Good</v>
      </c>
    </row>
    <row r="1100" spans="1:8" ht="19.8" x14ac:dyDescent="0.65">
      <c r="A1100" s="58" t="s">
        <v>231</v>
      </c>
      <c r="B1100" s="59">
        <v>45809</v>
      </c>
      <c r="C1100" s="60">
        <v>166394</v>
      </c>
      <c r="D1100" s="60">
        <v>186118</v>
      </c>
      <c r="E1100" s="60" t="str">
        <f>tbl_performance[[#This Row],[employee_id]]&amp;"-"&amp;TEXT(tbl_performance[[#This Row],[month]],"mm")</f>
        <v>EMP1098-06</v>
      </c>
      <c r="F1100" s="60">
        <f>COUNTIF(tbl_performance[employee_month_key],tbl_performance[[#This Row],[employee_month_key]])</f>
        <v>1</v>
      </c>
      <c r="G1100" s="61">
        <f>tbl_performance[[#This Row],[achieved]]/tbl_performance[[#This Row],[target]]</f>
        <v>1.1185379280502903</v>
      </c>
      <c r="H1100" s="60" t="str" cm="1">
        <f t="array" ref="H1100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01" spans="1:8" ht="19.8" x14ac:dyDescent="0.65">
      <c r="A1101" s="58" t="s">
        <v>231</v>
      </c>
      <c r="B1101" s="59">
        <v>45839</v>
      </c>
      <c r="C1101" s="60">
        <v>169790</v>
      </c>
      <c r="D1101" s="60">
        <v>169383</v>
      </c>
      <c r="E1101" s="60" t="str">
        <f>tbl_performance[[#This Row],[employee_id]]&amp;"-"&amp;TEXT(tbl_performance[[#This Row],[month]],"mm")</f>
        <v>EMP1098-07</v>
      </c>
      <c r="F1101" s="60">
        <f>COUNTIF(tbl_performance[employee_month_key],tbl_performance[[#This Row],[employee_month_key]])</f>
        <v>1</v>
      </c>
      <c r="G1101" s="61">
        <f>tbl_performance[[#This Row],[achieved]]/tbl_performance[[#This Row],[target]]</f>
        <v>0.99760292125566874</v>
      </c>
      <c r="H1101" s="60" t="str" cm="1">
        <f t="array" ref="H1101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02" spans="1:8" ht="19.8" x14ac:dyDescent="0.65">
      <c r="A1102" s="58" t="s">
        <v>231</v>
      </c>
      <c r="B1102" s="59">
        <v>45870</v>
      </c>
      <c r="C1102" s="60">
        <v>164697</v>
      </c>
      <c r="D1102" s="60">
        <v>173487</v>
      </c>
      <c r="E1102" s="60" t="str">
        <f>tbl_performance[[#This Row],[employee_id]]&amp;"-"&amp;TEXT(tbl_performance[[#This Row],[month]],"mm")</f>
        <v>EMP1098-08</v>
      </c>
      <c r="F1102" s="60">
        <f>COUNTIF(tbl_performance[employee_month_key],tbl_performance[[#This Row],[employee_month_key]])</f>
        <v>1</v>
      </c>
      <c r="G1102" s="61">
        <f>tbl_performance[[#This Row],[achieved]]/tbl_performance[[#This Row],[target]]</f>
        <v>1.0533707353503707</v>
      </c>
      <c r="H1102" s="60" t="str" cm="1">
        <f t="array" ref="H1102">_xlfn.IFS(tbl_performance[[#This Row],[performance_pct]]&gt;=1.1,"Excellent",tbl_performance[[#This Row],[performance_pct]]&gt;=1,"Good",tbl_performance[[#This Row],[performance_pct]]&gt;=0.85,"Average",TRUE,"Poor")</f>
        <v>Good</v>
      </c>
    </row>
    <row r="1103" spans="1:8" ht="19.8" x14ac:dyDescent="0.65">
      <c r="A1103" s="58" t="s">
        <v>231</v>
      </c>
      <c r="B1103" s="59">
        <v>45901</v>
      </c>
      <c r="C1103" s="60">
        <v>169790</v>
      </c>
      <c r="D1103" s="60">
        <v>179774</v>
      </c>
      <c r="E1103" s="60" t="str">
        <f>tbl_performance[[#This Row],[employee_id]]&amp;"-"&amp;TEXT(tbl_performance[[#This Row],[month]],"mm")</f>
        <v>EMP1098-09</v>
      </c>
      <c r="F1103" s="60">
        <f>COUNTIF(tbl_performance[employee_month_key],tbl_performance[[#This Row],[employee_month_key]])</f>
        <v>1</v>
      </c>
      <c r="G1103" s="61">
        <f>tbl_performance[[#This Row],[achieved]]/tbl_performance[[#This Row],[target]]</f>
        <v>1.0588020495906709</v>
      </c>
      <c r="H1103" s="60" t="str" cm="1">
        <f t="array" ref="H1103">_xlfn.IFS(tbl_performance[[#This Row],[performance_pct]]&gt;=1.1,"Excellent",tbl_performance[[#This Row],[performance_pct]]&gt;=1,"Good",tbl_performance[[#This Row],[performance_pct]]&gt;=0.85,"Average",TRUE,"Poor")</f>
        <v>Good</v>
      </c>
    </row>
    <row r="1104" spans="1:8" ht="19.8" x14ac:dyDescent="0.65">
      <c r="A1104" s="58" t="s">
        <v>231</v>
      </c>
      <c r="B1104" s="59">
        <v>45931</v>
      </c>
      <c r="C1104" s="60">
        <v>173186</v>
      </c>
      <c r="D1104" s="60">
        <v>166227</v>
      </c>
      <c r="E1104" s="60" t="str">
        <f>tbl_performance[[#This Row],[employee_id]]&amp;"-"&amp;TEXT(tbl_performance[[#This Row],[month]],"mm")</f>
        <v>EMP1098-10</v>
      </c>
      <c r="F1104" s="60">
        <f>COUNTIF(tbl_performance[employee_month_key],tbl_performance[[#This Row],[employee_month_key]])</f>
        <v>1</v>
      </c>
      <c r="G1104" s="61">
        <f>tbl_performance[[#This Row],[achieved]]/tbl_performance[[#This Row],[target]]</f>
        <v>0.95981776817987596</v>
      </c>
      <c r="H1104" s="60" t="str" cm="1">
        <f t="array" ref="H1104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05" spans="1:8" ht="19.8" x14ac:dyDescent="0.65">
      <c r="A1105" s="58" t="s">
        <v>231</v>
      </c>
      <c r="B1105" s="59">
        <v>45962</v>
      </c>
      <c r="C1105" s="60">
        <v>169790</v>
      </c>
      <c r="D1105" s="60">
        <v>208134</v>
      </c>
      <c r="E1105" s="60" t="str">
        <f>tbl_performance[[#This Row],[employee_id]]&amp;"-"&amp;TEXT(tbl_performance[[#This Row],[month]],"mm")</f>
        <v>EMP1098-11</v>
      </c>
      <c r="F1105" s="60">
        <f>COUNTIF(tbl_performance[employee_month_key],tbl_performance[[#This Row],[employee_month_key]])</f>
        <v>1</v>
      </c>
      <c r="G1105" s="61">
        <f>tbl_performance[[#This Row],[achieved]]/tbl_performance[[#This Row],[target]]</f>
        <v>1.2258319100064785</v>
      </c>
      <c r="H1105" s="60" t="str" cm="1">
        <f t="array" ref="H110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06" spans="1:8" ht="19.8" x14ac:dyDescent="0.65">
      <c r="A1106" s="58" t="s">
        <v>231</v>
      </c>
      <c r="B1106" s="59">
        <v>45992</v>
      </c>
      <c r="C1106" s="60">
        <v>144322</v>
      </c>
      <c r="D1106" s="60">
        <v>165845</v>
      </c>
      <c r="E1106" s="60" t="str">
        <f>tbl_performance[[#This Row],[employee_id]]&amp;"-"&amp;TEXT(tbl_performance[[#This Row],[month]],"mm")</f>
        <v>EMP1098-12</v>
      </c>
      <c r="F1106" s="60">
        <f>COUNTIF(tbl_performance[employee_month_key],tbl_performance[[#This Row],[employee_month_key]])</f>
        <v>1</v>
      </c>
      <c r="G1106" s="61">
        <f>tbl_performance[[#This Row],[achieved]]/tbl_performance[[#This Row],[target]]</f>
        <v>1.1491318024971937</v>
      </c>
      <c r="H1106" s="60" t="str" cm="1">
        <f t="array" ref="H1106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07" spans="1:8" ht="19.8" x14ac:dyDescent="0.65">
      <c r="A1107" s="58" t="s">
        <v>233</v>
      </c>
      <c r="B1107" s="59">
        <v>45658</v>
      </c>
      <c r="C1107" s="60">
        <v>38</v>
      </c>
      <c r="D1107" s="60">
        <v>41</v>
      </c>
      <c r="E1107" s="60" t="str">
        <f>tbl_performance[[#This Row],[employee_id]]&amp;"-"&amp;TEXT(tbl_performance[[#This Row],[month]],"mm")</f>
        <v>EMP1099-01</v>
      </c>
      <c r="F1107" s="60">
        <f>COUNTIF(tbl_performance[employee_month_key],tbl_performance[[#This Row],[employee_month_key]])</f>
        <v>1</v>
      </c>
      <c r="G1107" s="61">
        <f>tbl_performance[[#This Row],[achieved]]/tbl_performance[[#This Row],[target]]</f>
        <v>1.0789473684210527</v>
      </c>
      <c r="H1107" s="60" t="str" cm="1">
        <f t="array" ref="H1107">_xlfn.IFS(tbl_performance[[#This Row],[performance_pct]]&gt;=1.1,"Excellent",tbl_performance[[#This Row],[performance_pct]]&gt;=1,"Good",tbl_performance[[#This Row],[performance_pct]]&gt;=0.85,"Average",TRUE,"Poor")</f>
        <v>Good</v>
      </c>
    </row>
    <row r="1108" spans="1:8" ht="19.8" x14ac:dyDescent="0.65">
      <c r="A1108" s="58" t="s">
        <v>233</v>
      </c>
      <c r="B1108" s="59">
        <v>45689</v>
      </c>
      <c r="C1108" s="60">
        <v>35</v>
      </c>
      <c r="D1108" s="60">
        <v>36</v>
      </c>
      <c r="E1108" s="60" t="str">
        <f>tbl_performance[[#This Row],[employee_id]]&amp;"-"&amp;TEXT(tbl_performance[[#This Row],[month]],"mm")</f>
        <v>EMP1099-02</v>
      </c>
      <c r="F1108" s="60">
        <f>COUNTIF(tbl_performance[employee_month_key],tbl_performance[[#This Row],[employee_month_key]])</f>
        <v>1</v>
      </c>
      <c r="G1108" s="61">
        <f>tbl_performance[[#This Row],[achieved]]/tbl_performance[[#This Row],[target]]</f>
        <v>1.0285714285714285</v>
      </c>
      <c r="H1108" s="60" t="str" cm="1">
        <f t="array" ref="H1108">_xlfn.IFS(tbl_performance[[#This Row],[performance_pct]]&gt;=1.1,"Excellent",tbl_performance[[#This Row],[performance_pct]]&gt;=1,"Good",tbl_performance[[#This Row],[performance_pct]]&gt;=0.85,"Average",TRUE,"Poor")</f>
        <v>Good</v>
      </c>
    </row>
    <row r="1109" spans="1:8" ht="19.8" x14ac:dyDescent="0.65">
      <c r="A1109" s="58" t="s">
        <v>233</v>
      </c>
      <c r="B1109" s="59">
        <v>45717</v>
      </c>
      <c r="C1109" s="60">
        <v>39</v>
      </c>
      <c r="D1109" s="60">
        <v>41</v>
      </c>
      <c r="E1109" s="60" t="str">
        <f>tbl_performance[[#This Row],[employee_id]]&amp;"-"&amp;TEXT(tbl_performance[[#This Row],[month]],"mm")</f>
        <v>EMP1099-03</v>
      </c>
      <c r="F1109" s="60">
        <f>COUNTIF(tbl_performance[employee_month_key],tbl_performance[[#This Row],[employee_month_key]])</f>
        <v>1</v>
      </c>
      <c r="G1109" s="61">
        <f>tbl_performance[[#This Row],[achieved]]/tbl_performance[[#This Row],[target]]</f>
        <v>1.0512820512820513</v>
      </c>
      <c r="H1109" s="60" t="str" cm="1">
        <f t="array" ref="H1109">_xlfn.IFS(tbl_performance[[#This Row],[performance_pct]]&gt;=1.1,"Excellent",tbl_performance[[#This Row],[performance_pct]]&gt;=1,"Good",tbl_performance[[#This Row],[performance_pct]]&gt;=0.85,"Average",TRUE,"Poor")</f>
        <v>Good</v>
      </c>
    </row>
    <row r="1110" spans="1:8" ht="19.8" x14ac:dyDescent="0.65">
      <c r="A1110" s="58" t="s">
        <v>233</v>
      </c>
      <c r="B1110" s="59">
        <v>45748</v>
      </c>
      <c r="C1110" s="60">
        <v>38</v>
      </c>
      <c r="D1110" s="60">
        <v>40</v>
      </c>
      <c r="E1110" s="60" t="str">
        <f>tbl_performance[[#This Row],[employee_id]]&amp;"-"&amp;TEXT(tbl_performance[[#This Row],[month]],"mm")</f>
        <v>EMP1099-04</v>
      </c>
      <c r="F1110" s="60">
        <f>COUNTIF(tbl_performance[employee_month_key],tbl_performance[[#This Row],[employee_month_key]])</f>
        <v>1</v>
      </c>
      <c r="G1110" s="61">
        <f>tbl_performance[[#This Row],[achieved]]/tbl_performance[[#This Row],[target]]</f>
        <v>1.0526315789473684</v>
      </c>
      <c r="H1110" s="60" t="str" cm="1">
        <f t="array" ref="H1110">_xlfn.IFS(tbl_performance[[#This Row],[performance_pct]]&gt;=1.1,"Excellent",tbl_performance[[#This Row],[performance_pct]]&gt;=1,"Good",tbl_performance[[#This Row],[performance_pct]]&gt;=0.85,"Average",TRUE,"Poor")</f>
        <v>Good</v>
      </c>
    </row>
    <row r="1111" spans="1:8" ht="19.8" x14ac:dyDescent="0.65">
      <c r="A1111" s="58" t="s">
        <v>233</v>
      </c>
      <c r="B1111" s="59">
        <v>45778</v>
      </c>
      <c r="C1111" s="60">
        <v>38</v>
      </c>
      <c r="D1111" s="60">
        <v>41</v>
      </c>
      <c r="E1111" s="60" t="str">
        <f>tbl_performance[[#This Row],[employee_id]]&amp;"-"&amp;TEXT(tbl_performance[[#This Row],[month]],"mm")</f>
        <v>EMP1099-05</v>
      </c>
      <c r="F1111" s="60">
        <f>COUNTIF(tbl_performance[employee_month_key],tbl_performance[[#This Row],[employee_month_key]])</f>
        <v>1</v>
      </c>
      <c r="G1111" s="61">
        <f>tbl_performance[[#This Row],[achieved]]/tbl_performance[[#This Row],[target]]</f>
        <v>1.0789473684210527</v>
      </c>
      <c r="H1111" s="60" t="str" cm="1">
        <f t="array" ref="H1111">_xlfn.IFS(tbl_performance[[#This Row],[performance_pct]]&gt;=1.1,"Excellent",tbl_performance[[#This Row],[performance_pct]]&gt;=1,"Good",tbl_performance[[#This Row],[performance_pct]]&gt;=0.85,"Average",TRUE,"Poor")</f>
        <v>Good</v>
      </c>
    </row>
    <row r="1112" spans="1:8" ht="19.8" x14ac:dyDescent="0.65">
      <c r="A1112" s="58" t="s">
        <v>233</v>
      </c>
      <c r="B1112" s="59">
        <v>45809</v>
      </c>
      <c r="C1112" s="60">
        <v>37</v>
      </c>
      <c r="D1112" s="60">
        <v>39</v>
      </c>
      <c r="E1112" s="60" t="str">
        <f>tbl_performance[[#This Row],[employee_id]]&amp;"-"&amp;TEXT(tbl_performance[[#This Row],[month]],"mm")</f>
        <v>EMP1099-06</v>
      </c>
      <c r="F1112" s="60">
        <f>COUNTIF(tbl_performance[employee_month_key],tbl_performance[[#This Row],[employee_month_key]])</f>
        <v>1</v>
      </c>
      <c r="G1112" s="61">
        <f>tbl_performance[[#This Row],[achieved]]/tbl_performance[[#This Row],[target]]</f>
        <v>1.0540540540540539</v>
      </c>
      <c r="H1112" s="60" t="str" cm="1">
        <f t="array" ref="H1112">_xlfn.IFS(tbl_performance[[#This Row],[performance_pct]]&gt;=1.1,"Excellent",tbl_performance[[#This Row],[performance_pct]]&gt;=1,"Good",tbl_performance[[#This Row],[performance_pct]]&gt;=0.85,"Average",TRUE,"Poor")</f>
        <v>Good</v>
      </c>
    </row>
    <row r="1113" spans="1:8" ht="19.8" x14ac:dyDescent="0.65">
      <c r="A1113" s="58" t="s">
        <v>233</v>
      </c>
      <c r="B1113" s="59">
        <v>45839</v>
      </c>
      <c r="C1113" s="60">
        <v>38</v>
      </c>
      <c r="D1113" s="60">
        <v>40</v>
      </c>
      <c r="E1113" s="60" t="str">
        <f>tbl_performance[[#This Row],[employee_id]]&amp;"-"&amp;TEXT(tbl_performance[[#This Row],[month]],"mm")</f>
        <v>EMP1099-07</v>
      </c>
      <c r="F1113" s="60">
        <f>COUNTIF(tbl_performance[employee_month_key],tbl_performance[[#This Row],[employee_month_key]])</f>
        <v>1</v>
      </c>
      <c r="G1113" s="61">
        <f>tbl_performance[[#This Row],[achieved]]/tbl_performance[[#This Row],[target]]</f>
        <v>1.0526315789473684</v>
      </c>
      <c r="H1113" s="60" t="str" cm="1">
        <f t="array" ref="H1113">_xlfn.IFS(tbl_performance[[#This Row],[performance_pct]]&gt;=1.1,"Excellent",tbl_performance[[#This Row],[performance_pct]]&gt;=1,"Good",tbl_performance[[#This Row],[performance_pct]]&gt;=0.85,"Average",TRUE,"Poor")</f>
        <v>Good</v>
      </c>
    </row>
    <row r="1114" spans="1:8" ht="19.8" x14ac:dyDescent="0.65">
      <c r="A1114" s="58" t="s">
        <v>233</v>
      </c>
      <c r="B1114" s="59">
        <v>45870</v>
      </c>
      <c r="C1114" s="60">
        <v>37</v>
      </c>
      <c r="D1114" s="60">
        <v>39</v>
      </c>
      <c r="E1114" s="60" t="str">
        <f>tbl_performance[[#This Row],[employee_id]]&amp;"-"&amp;TEXT(tbl_performance[[#This Row],[month]],"mm")</f>
        <v>EMP1099-08</v>
      </c>
      <c r="F1114" s="60">
        <f>COUNTIF(tbl_performance[employee_month_key],tbl_performance[[#This Row],[employee_month_key]])</f>
        <v>1</v>
      </c>
      <c r="G1114" s="61">
        <f>tbl_performance[[#This Row],[achieved]]/tbl_performance[[#This Row],[target]]</f>
        <v>1.0540540540540539</v>
      </c>
      <c r="H1114" s="60" t="str" cm="1">
        <f t="array" ref="H1114">_xlfn.IFS(tbl_performance[[#This Row],[performance_pct]]&gt;=1.1,"Excellent",tbl_performance[[#This Row],[performance_pct]]&gt;=1,"Good",tbl_performance[[#This Row],[performance_pct]]&gt;=0.85,"Average",TRUE,"Poor")</f>
        <v>Good</v>
      </c>
    </row>
    <row r="1115" spans="1:8" ht="19.8" x14ac:dyDescent="0.65">
      <c r="A1115" s="58" t="s">
        <v>233</v>
      </c>
      <c r="B1115" s="59">
        <v>45901</v>
      </c>
      <c r="C1115" s="60">
        <v>38</v>
      </c>
      <c r="D1115" s="60">
        <v>42</v>
      </c>
      <c r="E1115" s="60" t="str">
        <f>tbl_performance[[#This Row],[employee_id]]&amp;"-"&amp;TEXT(tbl_performance[[#This Row],[month]],"mm")</f>
        <v>EMP1099-09</v>
      </c>
      <c r="F1115" s="60">
        <f>COUNTIF(tbl_performance[employee_month_key],tbl_performance[[#This Row],[employee_month_key]])</f>
        <v>1</v>
      </c>
      <c r="G1115" s="61">
        <f>tbl_performance[[#This Row],[achieved]]/tbl_performance[[#This Row],[target]]</f>
        <v>1.1052631578947369</v>
      </c>
      <c r="H1115" s="60" t="str" cm="1">
        <f t="array" ref="H1115">_xlfn.IFS(tbl_performance[[#This Row],[performance_pct]]&gt;=1.1,"Excellent",tbl_performance[[#This Row],[performance_pct]]&gt;=1,"Good",tbl_performance[[#This Row],[performance_pct]]&gt;=0.85,"Average",TRUE,"Poor")</f>
        <v>Excellent</v>
      </c>
    </row>
    <row r="1116" spans="1:8" ht="19.8" x14ac:dyDescent="0.65">
      <c r="A1116" s="58" t="s">
        <v>233</v>
      </c>
      <c r="B1116" s="59">
        <v>45931</v>
      </c>
      <c r="C1116" s="60">
        <v>39</v>
      </c>
      <c r="D1116" s="60">
        <v>42</v>
      </c>
      <c r="E1116" s="60" t="str">
        <f>tbl_performance[[#This Row],[employee_id]]&amp;"-"&amp;TEXT(tbl_performance[[#This Row],[month]],"mm")</f>
        <v>EMP1099-10</v>
      </c>
      <c r="F1116" s="60">
        <f>COUNTIF(tbl_performance[employee_month_key],tbl_performance[[#This Row],[employee_month_key]])</f>
        <v>1</v>
      </c>
      <c r="G1116" s="61">
        <f>tbl_performance[[#This Row],[achieved]]/tbl_performance[[#This Row],[target]]</f>
        <v>1.0769230769230769</v>
      </c>
      <c r="H1116" s="60" t="str" cm="1">
        <f t="array" ref="H1116">_xlfn.IFS(tbl_performance[[#This Row],[performance_pct]]&gt;=1.1,"Excellent",tbl_performance[[#This Row],[performance_pct]]&gt;=1,"Good",tbl_performance[[#This Row],[performance_pct]]&gt;=0.85,"Average",TRUE,"Poor")</f>
        <v>Good</v>
      </c>
    </row>
    <row r="1117" spans="1:8" ht="19.8" x14ac:dyDescent="0.65">
      <c r="A1117" s="58" t="s">
        <v>233</v>
      </c>
      <c r="B1117" s="59">
        <v>45962</v>
      </c>
      <c r="C1117" s="60">
        <v>38</v>
      </c>
      <c r="D1117" s="60">
        <v>40</v>
      </c>
      <c r="E1117" s="60" t="str">
        <f>tbl_performance[[#This Row],[employee_id]]&amp;"-"&amp;TEXT(tbl_performance[[#This Row],[month]],"mm")</f>
        <v>EMP1099-11</v>
      </c>
      <c r="F1117" s="60">
        <f>COUNTIF(tbl_performance[employee_month_key],tbl_performance[[#This Row],[employee_month_key]])</f>
        <v>1</v>
      </c>
      <c r="G1117" s="61">
        <f>tbl_performance[[#This Row],[achieved]]/tbl_performance[[#This Row],[target]]</f>
        <v>1.0526315789473684</v>
      </c>
      <c r="H1117" s="60" t="str" cm="1">
        <f t="array" ref="H1117">_xlfn.IFS(tbl_performance[[#This Row],[performance_pct]]&gt;=1.1,"Excellent",tbl_performance[[#This Row],[performance_pct]]&gt;=1,"Good",tbl_performance[[#This Row],[performance_pct]]&gt;=0.85,"Average",TRUE,"Poor")</f>
        <v>Good</v>
      </c>
    </row>
    <row r="1118" spans="1:8" ht="19.8" x14ac:dyDescent="0.65">
      <c r="A1118" s="58" t="s">
        <v>233</v>
      </c>
      <c r="B1118" s="59">
        <v>45992</v>
      </c>
      <c r="C1118" s="60">
        <v>32</v>
      </c>
      <c r="D1118" s="60">
        <v>30</v>
      </c>
      <c r="E1118" s="60" t="str">
        <f>tbl_performance[[#This Row],[employee_id]]&amp;"-"&amp;TEXT(tbl_performance[[#This Row],[month]],"mm")</f>
        <v>EMP1099-12</v>
      </c>
      <c r="F1118" s="60">
        <f>COUNTIF(tbl_performance[employee_month_key],tbl_performance[[#This Row],[employee_month_key]])</f>
        <v>1</v>
      </c>
      <c r="G1118" s="61">
        <f>tbl_performance[[#This Row],[achieved]]/tbl_performance[[#This Row],[target]]</f>
        <v>0.9375</v>
      </c>
      <c r="H1118" s="60" t="str" cm="1">
        <f t="array" ref="H1118">_xlfn.IFS(tbl_performance[[#This Row],[performance_pct]]&gt;=1.1,"Excellent",tbl_performance[[#This Row],[performance_pct]]&gt;=1,"Good",tbl_performance[[#This Row],[performance_pct]]&gt;=0.85,"Average",TRUE,"Poor")</f>
        <v>Average</v>
      </c>
    </row>
    <row r="1119" spans="1:8" ht="19.8" x14ac:dyDescent="0.65">
      <c r="A1119" s="58" t="s">
        <v>235</v>
      </c>
      <c r="B1119" s="59">
        <v>45658</v>
      </c>
      <c r="C1119" s="60">
        <v>206</v>
      </c>
      <c r="D1119" s="60">
        <v>154</v>
      </c>
      <c r="E1119" s="60" t="str">
        <f>tbl_performance[[#This Row],[employee_id]]&amp;"-"&amp;TEXT(tbl_performance[[#This Row],[month]],"mm")</f>
        <v>EMP1100-01</v>
      </c>
      <c r="F1119" s="60">
        <f>COUNTIF(tbl_performance[employee_month_key],tbl_performance[[#This Row],[employee_month_key]])</f>
        <v>1</v>
      </c>
      <c r="G1119" s="61">
        <f>tbl_performance[[#This Row],[achieved]]/tbl_performance[[#This Row],[target]]</f>
        <v>0.74757281553398058</v>
      </c>
      <c r="H1119" s="60" t="str" cm="1">
        <f t="array" ref="H1119">_xlfn.IFS(tbl_performance[[#This Row],[performance_pct]]&gt;=1.1,"Excellent",tbl_performance[[#This Row],[performance_pct]]&gt;=1,"Good",tbl_performance[[#This Row],[performance_pct]]&gt;=0.85,"Average",TRUE,"Poor")</f>
        <v>Poor</v>
      </c>
    </row>
    <row r="1120" spans="1:8" ht="19.8" x14ac:dyDescent="0.65">
      <c r="A1120" s="58" t="s">
        <v>235</v>
      </c>
      <c r="B1120" s="59">
        <v>45689</v>
      </c>
      <c r="C1120" s="60">
        <v>191</v>
      </c>
      <c r="D1120" s="60">
        <v>140</v>
      </c>
      <c r="E1120" s="60" t="str">
        <f>tbl_performance[[#This Row],[employee_id]]&amp;"-"&amp;TEXT(tbl_performance[[#This Row],[month]],"mm")</f>
        <v>EMP1100-02</v>
      </c>
      <c r="F1120" s="60">
        <f>COUNTIF(tbl_performance[employee_month_key],tbl_performance[[#This Row],[employee_month_key]])</f>
        <v>1</v>
      </c>
      <c r="G1120" s="61">
        <f>tbl_performance[[#This Row],[achieved]]/tbl_performance[[#This Row],[target]]</f>
        <v>0.73298429319371727</v>
      </c>
      <c r="H1120" s="60" t="str" cm="1">
        <f t="array" ref="H1120">_xlfn.IFS(tbl_performance[[#This Row],[performance_pct]]&gt;=1.1,"Excellent",tbl_performance[[#This Row],[performance_pct]]&gt;=1,"Good",tbl_performance[[#This Row],[performance_pct]]&gt;=0.85,"Average",TRUE,"Poor")</f>
        <v>Poor</v>
      </c>
    </row>
    <row r="1121" spans="1:8" ht="19.8" x14ac:dyDescent="0.65">
      <c r="A1121" s="58" t="s">
        <v>235</v>
      </c>
      <c r="B1121" s="59">
        <v>45717</v>
      </c>
      <c r="C1121" s="60">
        <v>210</v>
      </c>
      <c r="D1121" s="60">
        <v>159</v>
      </c>
      <c r="E1121" s="60" t="str">
        <f>tbl_performance[[#This Row],[employee_id]]&amp;"-"&amp;TEXT(tbl_performance[[#This Row],[month]],"mm")</f>
        <v>EMP1100-03</v>
      </c>
      <c r="F1121" s="60">
        <f>COUNTIF(tbl_performance[employee_month_key],tbl_performance[[#This Row],[employee_month_key]])</f>
        <v>1</v>
      </c>
      <c r="G1121" s="61">
        <f>tbl_performance[[#This Row],[achieved]]/tbl_performance[[#This Row],[target]]</f>
        <v>0.75714285714285712</v>
      </c>
      <c r="H1121" s="60" t="str" cm="1">
        <f t="array" ref="H1121">_xlfn.IFS(tbl_performance[[#This Row],[performance_pct]]&gt;=1.1,"Excellent",tbl_performance[[#This Row],[performance_pct]]&gt;=1,"Good",tbl_performance[[#This Row],[performance_pct]]&gt;=0.85,"Average",TRUE,"Poor")</f>
        <v>Poor</v>
      </c>
    </row>
    <row r="1122" spans="1:8" ht="19.8" x14ac:dyDescent="0.65">
      <c r="A1122" s="58" t="s">
        <v>235</v>
      </c>
      <c r="B1122" s="59">
        <v>45748</v>
      </c>
      <c r="C1122" s="60">
        <v>206</v>
      </c>
      <c r="D1122" s="60">
        <v>159</v>
      </c>
      <c r="E1122" s="60" t="str">
        <f>tbl_performance[[#This Row],[employee_id]]&amp;"-"&amp;TEXT(tbl_performance[[#This Row],[month]],"mm")</f>
        <v>EMP1100-04</v>
      </c>
      <c r="F1122" s="60">
        <f>COUNTIF(tbl_performance[employee_month_key],tbl_performance[[#This Row],[employee_month_key]])</f>
        <v>1</v>
      </c>
      <c r="G1122" s="61">
        <f>tbl_performance[[#This Row],[achieved]]/tbl_performance[[#This Row],[target]]</f>
        <v>0.77184466019417475</v>
      </c>
      <c r="H1122" s="60" t="str" cm="1">
        <f t="array" ref="H1122">_xlfn.IFS(tbl_performance[[#This Row],[performance_pct]]&gt;=1.1,"Excellent",tbl_performance[[#This Row],[performance_pct]]&gt;=1,"Good",tbl_performance[[#This Row],[performance_pct]]&gt;=0.85,"Average",TRUE,"Poor")</f>
        <v>Poor</v>
      </c>
    </row>
    <row r="1123" spans="1:8" ht="19.8" x14ac:dyDescent="0.65">
      <c r="A1123" s="58" t="s">
        <v>235</v>
      </c>
      <c r="B1123" s="59">
        <v>45778</v>
      </c>
      <c r="C1123" s="60">
        <v>206</v>
      </c>
      <c r="D1123" s="60">
        <v>165</v>
      </c>
      <c r="E1123" s="60" t="str">
        <f>tbl_performance[[#This Row],[employee_id]]&amp;"-"&amp;TEXT(tbl_performance[[#This Row],[month]],"mm")</f>
        <v>EMP1100-05</v>
      </c>
      <c r="F1123" s="60">
        <f>COUNTIF(tbl_performance[employee_month_key],tbl_performance[[#This Row],[employee_month_key]])</f>
        <v>1</v>
      </c>
      <c r="G1123" s="61">
        <f>tbl_performance[[#This Row],[achieved]]/tbl_performance[[#This Row],[target]]</f>
        <v>0.80097087378640774</v>
      </c>
      <c r="H1123" s="60" t="str" cm="1">
        <f t="array" ref="H1123">_xlfn.IFS(tbl_performance[[#This Row],[performance_pct]]&gt;=1.1,"Excellent",tbl_performance[[#This Row],[performance_pct]]&gt;=1,"Good",tbl_performance[[#This Row],[performance_pct]]&gt;=0.85,"Average",TRUE,"Poor")</f>
        <v>Poor</v>
      </c>
    </row>
    <row r="1124" spans="1:8" ht="19.8" x14ac:dyDescent="0.65">
      <c r="A1124" s="58" t="s">
        <v>235</v>
      </c>
      <c r="B1124" s="59">
        <v>45809</v>
      </c>
      <c r="C1124" s="60">
        <v>202</v>
      </c>
      <c r="D1124" s="60">
        <v>155</v>
      </c>
      <c r="E1124" s="60" t="str">
        <f>tbl_performance[[#This Row],[employee_id]]&amp;"-"&amp;TEXT(tbl_performance[[#This Row],[month]],"mm")</f>
        <v>EMP1100-06</v>
      </c>
      <c r="F1124" s="60">
        <f>COUNTIF(tbl_performance[employee_month_key],tbl_performance[[#This Row],[employee_month_key]])</f>
        <v>1</v>
      </c>
      <c r="G1124" s="61">
        <f>tbl_performance[[#This Row],[achieved]]/tbl_performance[[#This Row],[target]]</f>
        <v>0.76732673267326734</v>
      </c>
      <c r="H1124" s="60" t="str" cm="1">
        <f t="array" ref="H1124">_xlfn.IFS(tbl_performance[[#This Row],[performance_pct]]&gt;=1.1,"Excellent",tbl_performance[[#This Row],[performance_pct]]&gt;=1,"Good",tbl_performance[[#This Row],[performance_pct]]&gt;=0.85,"Average",TRUE,"Poor")</f>
        <v>Poor</v>
      </c>
    </row>
    <row r="1125" spans="1:8" ht="19.8" x14ac:dyDescent="0.65">
      <c r="A1125" s="58" t="s">
        <v>235</v>
      </c>
      <c r="B1125" s="59">
        <v>45839</v>
      </c>
      <c r="C1125" s="60">
        <v>206</v>
      </c>
      <c r="D1125" s="60">
        <v>165</v>
      </c>
      <c r="E1125" s="60" t="str">
        <f>tbl_performance[[#This Row],[employee_id]]&amp;"-"&amp;TEXT(tbl_performance[[#This Row],[month]],"mm")</f>
        <v>EMP1100-07</v>
      </c>
      <c r="F1125" s="60">
        <f>COUNTIF(tbl_performance[employee_month_key],tbl_performance[[#This Row],[employee_month_key]])</f>
        <v>1</v>
      </c>
      <c r="G1125" s="61">
        <f>tbl_performance[[#This Row],[achieved]]/tbl_performance[[#This Row],[target]]</f>
        <v>0.80097087378640774</v>
      </c>
      <c r="H1125" s="60" t="str" cm="1">
        <f t="array" ref="H1125">_xlfn.IFS(tbl_performance[[#This Row],[performance_pct]]&gt;=1.1,"Excellent",tbl_performance[[#This Row],[performance_pct]]&gt;=1,"Good",tbl_performance[[#This Row],[performance_pct]]&gt;=0.85,"Average",TRUE,"Poor")</f>
        <v>Poor</v>
      </c>
    </row>
    <row r="1126" spans="1:8" ht="19.8" x14ac:dyDescent="0.65">
      <c r="A1126" s="58" t="s">
        <v>235</v>
      </c>
      <c r="B1126" s="59">
        <v>45870</v>
      </c>
      <c r="C1126" s="60">
        <v>200</v>
      </c>
      <c r="D1126" s="60">
        <v>125</v>
      </c>
      <c r="E1126" s="60" t="str">
        <f>tbl_performance[[#This Row],[employee_id]]&amp;"-"&amp;TEXT(tbl_performance[[#This Row],[month]],"mm")</f>
        <v>EMP1100-08</v>
      </c>
      <c r="F1126" s="60">
        <f>COUNTIF(tbl_performance[employee_month_key],tbl_performance[[#This Row],[employee_month_key]])</f>
        <v>1</v>
      </c>
      <c r="G1126" s="61">
        <f>tbl_performance[[#This Row],[achieved]]/tbl_performance[[#This Row],[target]]</f>
        <v>0.625</v>
      </c>
      <c r="H1126" s="60" t="str" cm="1">
        <f t="array" ref="H1126">_xlfn.IFS(tbl_performance[[#This Row],[performance_pct]]&gt;=1.1,"Excellent",tbl_performance[[#This Row],[performance_pct]]&gt;=1,"Good",tbl_performance[[#This Row],[performance_pct]]&gt;=0.85,"Average",TRUE,"Poor")</f>
        <v>Poor</v>
      </c>
    </row>
    <row r="1127" spans="1:8" ht="19.8" x14ac:dyDescent="0.65">
      <c r="A1127" s="58" t="s">
        <v>235</v>
      </c>
      <c r="B1127" s="59">
        <v>45901</v>
      </c>
      <c r="C1127" s="60">
        <v>206</v>
      </c>
      <c r="D1127" s="60">
        <v>127</v>
      </c>
      <c r="E1127" s="60" t="str">
        <f>tbl_performance[[#This Row],[employee_id]]&amp;"-"&amp;TEXT(tbl_performance[[#This Row],[month]],"mm")</f>
        <v>EMP1100-09</v>
      </c>
      <c r="F1127" s="60">
        <f>COUNTIF(tbl_performance[employee_month_key],tbl_performance[[#This Row],[employee_month_key]])</f>
        <v>1</v>
      </c>
      <c r="G1127" s="61">
        <f>tbl_performance[[#This Row],[achieved]]/tbl_performance[[#This Row],[target]]</f>
        <v>0.61650485436893199</v>
      </c>
      <c r="H1127" s="60" t="str" cm="1">
        <f t="array" ref="H1127">_xlfn.IFS(tbl_performance[[#This Row],[performance_pct]]&gt;=1.1,"Excellent",tbl_performance[[#This Row],[performance_pct]]&gt;=1,"Good",tbl_performance[[#This Row],[performance_pct]]&gt;=0.85,"Average",TRUE,"Poor")</f>
        <v>Poor</v>
      </c>
    </row>
    <row r="1128" spans="1:8" ht="19.8" x14ac:dyDescent="0.65">
      <c r="A1128" s="58" t="s">
        <v>235</v>
      </c>
      <c r="B1128" s="59">
        <v>45931</v>
      </c>
      <c r="C1128" s="60">
        <v>210</v>
      </c>
      <c r="D1128" s="60">
        <v>152</v>
      </c>
      <c r="E1128" s="60" t="str">
        <f>tbl_performance[[#This Row],[employee_id]]&amp;"-"&amp;TEXT(tbl_performance[[#This Row],[month]],"mm")</f>
        <v>EMP1100-10</v>
      </c>
      <c r="F1128" s="60">
        <f>COUNTIF(tbl_performance[employee_month_key],tbl_performance[[#This Row],[employee_month_key]])</f>
        <v>1</v>
      </c>
      <c r="G1128" s="61">
        <f>tbl_performance[[#This Row],[achieved]]/tbl_performance[[#This Row],[target]]</f>
        <v>0.72380952380952379</v>
      </c>
      <c r="H1128" s="60" t="str" cm="1">
        <f t="array" ref="H1128">_xlfn.IFS(tbl_performance[[#This Row],[performance_pct]]&gt;=1.1,"Excellent",tbl_performance[[#This Row],[performance_pct]]&gt;=1,"Good",tbl_performance[[#This Row],[performance_pct]]&gt;=0.85,"Average",TRUE,"Poor")</f>
        <v>Poor</v>
      </c>
    </row>
    <row r="1129" spans="1:8" ht="19.8" x14ac:dyDescent="0.65">
      <c r="A1129" s="58" t="s">
        <v>235</v>
      </c>
      <c r="B1129" s="59">
        <v>45962</v>
      </c>
      <c r="C1129" s="60">
        <v>206</v>
      </c>
      <c r="D1129" s="60">
        <v>158</v>
      </c>
      <c r="E1129" s="60" t="str">
        <f>tbl_performance[[#This Row],[employee_id]]&amp;"-"&amp;TEXT(tbl_performance[[#This Row],[month]],"mm")</f>
        <v>EMP1100-11</v>
      </c>
      <c r="F1129" s="60">
        <f>COUNTIF(tbl_performance[employee_month_key],tbl_performance[[#This Row],[employee_month_key]])</f>
        <v>1</v>
      </c>
      <c r="G1129" s="61">
        <f>tbl_performance[[#This Row],[achieved]]/tbl_performance[[#This Row],[target]]</f>
        <v>0.76699029126213591</v>
      </c>
      <c r="H1129" s="60" t="str" cm="1">
        <f t="array" ref="H1129">_xlfn.IFS(tbl_performance[[#This Row],[performance_pct]]&gt;=1.1,"Excellent",tbl_performance[[#This Row],[performance_pct]]&gt;=1,"Good",tbl_performance[[#This Row],[performance_pct]]&gt;=0.85,"Average",TRUE,"Poor")</f>
        <v>Poor</v>
      </c>
    </row>
    <row r="1130" spans="1:8" ht="19.8" x14ac:dyDescent="0.65">
      <c r="A1130" s="58" t="s">
        <v>235</v>
      </c>
      <c r="B1130" s="59">
        <v>45992</v>
      </c>
      <c r="C1130" s="60">
        <v>175</v>
      </c>
      <c r="D1130" s="60">
        <v>112</v>
      </c>
      <c r="E1130" s="60" t="str">
        <f>tbl_performance[[#This Row],[employee_id]]&amp;"-"&amp;TEXT(tbl_performance[[#This Row],[month]],"mm")</f>
        <v>EMP1100-12</v>
      </c>
      <c r="F1130" s="60">
        <f>COUNTIF(tbl_performance[employee_month_key],tbl_performance[[#This Row],[employee_month_key]])</f>
        <v>1</v>
      </c>
      <c r="G1130" s="61">
        <f>tbl_performance[[#This Row],[achieved]]/tbl_performance[[#This Row],[target]]</f>
        <v>0.64</v>
      </c>
      <c r="H1130" s="60" t="str" cm="1">
        <f t="array" ref="H1130">_xlfn.IFS(tbl_performance[[#This Row],[performance_pct]]&gt;=1.1,"Excellent",tbl_performance[[#This Row],[performance_pct]]&gt;=1,"Good",tbl_performance[[#This Row],[performance_pct]]&gt;=0.85,"Average",TRUE,"Poor")</f>
        <v>Poor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F224-3BF4-401B-9139-9EF42DD77197}">
  <dimension ref="A1:K101"/>
  <sheetViews>
    <sheetView workbookViewId="0">
      <selection activeCell="C6" sqref="C6"/>
    </sheetView>
  </sheetViews>
  <sheetFormatPr defaultRowHeight="14.4" x14ac:dyDescent="0.3"/>
  <cols>
    <col min="1" max="1" width="18.21875" customWidth="1"/>
    <col min="2" max="2" width="24" style="4" customWidth="1"/>
    <col min="3" max="3" width="25.109375" style="4" customWidth="1"/>
    <col min="4" max="7" width="24.109375" style="4" customWidth="1"/>
    <col min="8" max="8" width="24.109375" style="9" customWidth="1"/>
    <col min="9" max="10" width="24.109375" style="4" customWidth="1"/>
    <col min="11" max="11" width="21.33203125" customWidth="1"/>
  </cols>
  <sheetData>
    <row r="1" spans="1:11" x14ac:dyDescent="0.3">
      <c r="A1" s="82" t="s">
        <v>0</v>
      </c>
      <c r="B1" s="82" t="s">
        <v>1</v>
      </c>
      <c r="C1" s="82" t="s">
        <v>2</v>
      </c>
      <c r="D1" s="82" t="s">
        <v>3</v>
      </c>
      <c r="E1" s="82" t="s">
        <v>5</v>
      </c>
      <c r="F1" s="82" t="s">
        <v>4</v>
      </c>
      <c r="G1" s="82" t="s">
        <v>352</v>
      </c>
      <c r="H1" s="83" t="s">
        <v>328</v>
      </c>
      <c r="I1" s="82" t="s">
        <v>329</v>
      </c>
      <c r="J1" s="82" t="s">
        <v>327</v>
      </c>
      <c r="K1" s="82" t="s">
        <v>339</v>
      </c>
    </row>
    <row r="2" spans="1:11" ht="19.8" x14ac:dyDescent="0.65">
      <c r="A2" s="45" t="s">
        <v>7</v>
      </c>
      <c r="B2" s="50" t="str">
        <f>_xlfn.XLOOKUP(A2,tbl_employee[employee_id],tbl_employee[name])</f>
        <v>Adeel Hussain</v>
      </c>
      <c r="C2" s="50" t="str">
        <f>_xlfn.XLOOKUP(A2,tbl_employee[employee_id],tbl_employee[role])</f>
        <v>Marketing Manager</v>
      </c>
      <c r="D2" s="50" t="str">
        <f>_xlfn.XLOOKUP(A2,tbl_employee[employee_id],tbl_employee[department])</f>
        <v>Marketing</v>
      </c>
      <c r="E2" s="50" t="str">
        <f>_xlfn.XLOOKUP(A2,tbl_employee[employee_id],tbl_employee[gender])</f>
        <v>Male</v>
      </c>
      <c r="F2" s="50">
        <f>_xlfn.XLOOKUP(A2,tbl_employee[employee_id],tbl_employee[age])</f>
        <v>32</v>
      </c>
      <c r="G2" s="50" t="str" cm="1">
        <f t="array" ref="G2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2" s="51">
        <f>AVERAGEIF(tbl_performance[employee_id],A2,tbl_performance[performance_pct])</f>
        <v>0.89527758546531555</v>
      </c>
      <c r="I2" s="50">
        <f>COUNTIF(tbl_performance[employee_id],A2)</f>
        <v>12</v>
      </c>
      <c r="J2" s="50" t="str" cm="1">
        <f t="array" ref="J2">_xlfn.IFS(H2 &gt;= 1.1,"Excellent", H2&gt;=1,"Good",H2&gt;=0.85,"Average",TRUE,"Poor")</f>
        <v>Average</v>
      </c>
      <c r="K2" s="50">
        <f>_xlfn.RANK.EQ(tbl_employee_summary[[#This Row],[avg_performance_pct]], tbl_employee_summary[avg_performance_pct], 0)</f>
        <v>73</v>
      </c>
    </row>
    <row r="3" spans="1:11" ht="19.8" x14ac:dyDescent="0.65">
      <c r="A3" s="45" t="s">
        <v>12</v>
      </c>
      <c r="B3" s="50" t="str">
        <f>_xlfn.XLOOKUP(A3,tbl_employee[employee_id],tbl_employee[name])</f>
        <v>Karan Mathew</v>
      </c>
      <c r="C3" s="50" t="str">
        <f>_xlfn.XLOOKUP(A3,tbl_employee[employee_id],tbl_employee[role])</f>
        <v>Marketing Executive</v>
      </c>
      <c r="D3" s="50" t="str">
        <f>_xlfn.XLOOKUP(A3,tbl_employee[employee_id],tbl_employee[department])</f>
        <v>Marketing</v>
      </c>
      <c r="E3" s="50" t="str">
        <f>_xlfn.XLOOKUP(A3,tbl_employee[employee_id],tbl_employee[gender])</f>
        <v>Male</v>
      </c>
      <c r="F3" s="50">
        <f>_xlfn.XLOOKUP(A3,tbl_employee[employee_id],tbl_employee[age])</f>
        <v>30</v>
      </c>
      <c r="G3" s="50" t="str" cm="1">
        <f t="array" ref="G3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3" s="51">
        <f>AVERAGEIF(tbl_performance[employee_id],A3,tbl_performance[performance_pct])</f>
        <v>1.236086106230655</v>
      </c>
      <c r="I3" s="50">
        <f>COUNTIF(tbl_performance[employee_id],A3)</f>
        <v>12</v>
      </c>
      <c r="J3" s="50" t="str" cm="1">
        <f t="array" ref="J3">_xlfn.IFS(H3 &gt;= 1.1,"Excellent", H3&gt;=1,"Good",H3&gt;=0.85,"Average",TRUE,"Poor")</f>
        <v>Excellent</v>
      </c>
      <c r="K3" s="50">
        <f>_xlfn.RANK.EQ(tbl_employee_summary[[#This Row],[avg_performance_pct]], tbl_employee_summary[avg_performance_pct], 0)</f>
        <v>1</v>
      </c>
    </row>
    <row r="4" spans="1:11" ht="19.8" x14ac:dyDescent="0.65">
      <c r="A4" s="45" t="s">
        <v>15</v>
      </c>
      <c r="B4" s="50" t="str">
        <f>_xlfn.XLOOKUP(A4,tbl_employee[employee_id],tbl_employee[name])</f>
        <v>Steven Al Mansoori</v>
      </c>
      <c r="C4" s="50" t="str">
        <f>_xlfn.XLOOKUP(A4,tbl_employee[employee_id],tbl_employee[role])</f>
        <v>Sales Executive</v>
      </c>
      <c r="D4" s="50" t="str">
        <f>_xlfn.XLOOKUP(A4,tbl_employee[employee_id],tbl_employee[department])</f>
        <v>Sales</v>
      </c>
      <c r="E4" s="50" t="str">
        <f>_xlfn.XLOOKUP(A4,tbl_employee[employee_id],tbl_employee[gender])</f>
        <v>Male</v>
      </c>
      <c r="F4" s="50">
        <f>_xlfn.XLOOKUP(A4,tbl_employee[employee_id],tbl_employee[age])</f>
        <v>29</v>
      </c>
      <c r="G4" s="50" t="str" cm="1">
        <f t="array" ref="G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4" s="51">
        <f>AVERAGEIF(tbl_performance[employee_id],A4,tbl_performance[performance_pct])</f>
        <v>0.81276544288914387</v>
      </c>
      <c r="I4" s="50">
        <f>COUNTIF(tbl_performance[employee_id],A4)</f>
        <v>12</v>
      </c>
      <c r="J4" s="50" t="str" cm="1">
        <f t="array" ref="J4">_xlfn.IFS(H4 &gt;= 1.1,"Excellent", H4&gt;=1,"Good",H4&gt;=0.85,"Average",TRUE,"Poor")</f>
        <v>Poor</v>
      </c>
      <c r="K4" s="50">
        <f>_xlfn.RANK.EQ(tbl_employee_summary[[#This Row],[avg_performance_pct]], tbl_employee_summary[avg_performance_pct], 0)</f>
        <v>88</v>
      </c>
    </row>
    <row r="5" spans="1:11" ht="19.8" x14ac:dyDescent="0.65">
      <c r="A5" s="45" t="s">
        <v>19</v>
      </c>
      <c r="B5" s="50" t="str">
        <f>_xlfn.XLOOKUP(A5,tbl_employee[employee_id],tbl_employee[name])</f>
        <v>Ahmed Smith</v>
      </c>
      <c r="C5" s="50" t="str">
        <f>_xlfn.XLOOKUP(A5,tbl_employee[employee_id],tbl_employee[role])</f>
        <v>Operations Manager</v>
      </c>
      <c r="D5" s="50" t="str">
        <f>_xlfn.XLOOKUP(A5,tbl_employee[employee_id],tbl_employee[department])</f>
        <v>Operations</v>
      </c>
      <c r="E5" s="50" t="str">
        <f>_xlfn.XLOOKUP(A5,tbl_employee[employee_id],tbl_employee[gender])</f>
        <v>Male</v>
      </c>
      <c r="F5" s="50">
        <f>_xlfn.XLOOKUP(A5,tbl_employee[employee_id],tbl_employee[age])</f>
        <v>38</v>
      </c>
      <c r="G5" s="50" t="str" cm="1">
        <f t="array" ref="G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5" s="51">
        <f>AVERAGEIF(tbl_performance[employee_id],A5,tbl_performance[performance_pct])</f>
        <v>0.83314383150289462</v>
      </c>
      <c r="I5" s="50">
        <f>COUNTIF(tbl_performance[employee_id],A5)</f>
        <v>12</v>
      </c>
      <c r="J5" s="50" t="str" cm="1">
        <f t="array" ref="J5">_xlfn.IFS(H5 &gt;= 1.1,"Excellent", H5&gt;=1,"Good",H5&gt;=0.85,"Average",TRUE,"Poor")</f>
        <v>Poor</v>
      </c>
      <c r="K5" s="50">
        <f>_xlfn.RANK.EQ(tbl_employee_summary[[#This Row],[avg_performance_pct]], tbl_employee_summary[avg_performance_pct], 0)</f>
        <v>83</v>
      </c>
    </row>
    <row r="6" spans="1:11" ht="19.8" x14ac:dyDescent="0.65">
      <c r="A6" s="45" t="s">
        <v>23</v>
      </c>
      <c r="B6" s="50" t="str">
        <f>_xlfn.XLOOKUP(A6,tbl_employee[employee_id],tbl_employee[name])</f>
        <v>Pooja Reddy</v>
      </c>
      <c r="C6" s="50" t="str">
        <f>_xlfn.XLOOKUP(A6,tbl_employee[employee_id],tbl_employee[role])</f>
        <v>Marketing Executive</v>
      </c>
      <c r="D6" s="50" t="str">
        <f>_xlfn.XLOOKUP(A6,tbl_employee[employee_id],tbl_employee[department])</f>
        <v>Marketing</v>
      </c>
      <c r="E6" s="50" t="str">
        <f>_xlfn.XLOOKUP(A6,tbl_employee[employee_id],tbl_employee[gender])</f>
        <v>Female</v>
      </c>
      <c r="F6" s="50">
        <f>_xlfn.XLOOKUP(A6,tbl_employee[employee_id],tbl_employee[age])</f>
        <v>26</v>
      </c>
      <c r="G6" s="50" t="str" cm="1">
        <f t="array" ref="G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" s="51">
        <f>AVERAGEIF(tbl_performance[employee_id],A6,tbl_performance[performance_pct])</f>
        <v>0.93595636653276559</v>
      </c>
      <c r="I6" s="50">
        <f>COUNTIF(tbl_performance[employee_id],A6)</f>
        <v>12</v>
      </c>
      <c r="J6" s="50" t="str" cm="1">
        <f t="array" ref="J6">_xlfn.IFS(H6 &gt;= 1.1,"Excellent", H6&gt;=1,"Good",H6&gt;=0.85,"Average",TRUE,"Poor")</f>
        <v>Average</v>
      </c>
      <c r="K6" s="50">
        <f>_xlfn.RANK.EQ(tbl_employee_summary[[#This Row],[avg_performance_pct]], tbl_employee_summary[avg_performance_pct], 0)</f>
        <v>64</v>
      </c>
    </row>
    <row r="7" spans="1:11" ht="19.8" x14ac:dyDescent="0.65">
      <c r="A7" s="45" t="s">
        <v>26</v>
      </c>
      <c r="B7" s="50" t="str">
        <f>_xlfn.XLOOKUP(A7,tbl_employee[employee_id],tbl_employee[name])</f>
        <v>Priya Nair</v>
      </c>
      <c r="C7" s="50" t="str">
        <f>_xlfn.XLOOKUP(A7,tbl_employee[employee_id],tbl_employee[role])</f>
        <v>Accountant</v>
      </c>
      <c r="D7" s="50" t="str">
        <f>_xlfn.XLOOKUP(A7,tbl_employee[employee_id],tbl_employee[department])</f>
        <v>Finance</v>
      </c>
      <c r="E7" s="50" t="str">
        <f>_xlfn.XLOOKUP(A7,tbl_employee[employee_id],tbl_employee[gender])</f>
        <v>Female</v>
      </c>
      <c r="F7" s="50">
        <f>_xlfn.XLOOKUP(A7,tbl_employee[employee_id],tbl_employee[age])</f>
        <v>24</v>
      </c>
      <c r="G7" s="50" t="str" cm="1">
        <f t="array" ref="G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7" s="51">
        <f>AVERAGEIF(tbl_performance[employee_id],A7,tbl_performance[performance_pct])</f>
        <v>1.0246449456975772</v>
      </c>
      <c r="I7" s="50">
        <f>COUNTIF(tbl_performance[employee_id],A7)</f>
        <v>12</v>
      </c>
      <c r="J7" s="50" t="str" cm="1">
        <f t="array" ref="J7">_xlfn.IFS(H7 &gt;= 1.1,"Excellent", H7&gt;=1,"Good",H7&gt;=0.85,"Average",TRUE,"Poor")</f>
        <v>Good</v>
      </c>
      <c r="K7" s="50">
        <f>_xlfn.RANK.EQ(tbl_employee_summary[[#This Row],[avg_performance_pct]], tbl_employee_summary[avg_performance_pct], 0)</f>
        <v>31</v>
      </c>
    </row>
    <row r="8" spans="1:11" ht="19.8" x14ac:dyDescent="0.65">
      <c r="A8" s="45" t="s">
        <v>30</v>
      </c>
      <c r="B8" s="50" t="str">
        <f>_xlfn.XLOOKUP(A8,tbl_employee[employee_id],tbl_employee[name])</f>
        <v>Wei Patel</v>
      </c>
      <c r="C8" s="50" t="str">
        <f>_xlfn.XLOOKUP(A8,tbl_employee[employee_id],tbl_employee[role])</f>
        <v>Senior Support Associate</v>
      </c>
      <c r="D8" s="50" t="str">
        <f>_xlfn.XLOOKUP(A8,tbl_employee[employee_id],tbl_employee[department])</f>
        <v>Customer Support</v>
      </c>
      <c r="E8" s="50" t="str">
        <f>_xlfn.XLOOKUP(A8,tbl_employee[employee_id],tbl_employee[gender])</f>
        <v>Male</v>
      </c>
      <c r="F8" s="50">
        <f>_xlfn.XLOOKUP(A8,tbl_employee[employee_id],tbl_employee[age])</f>
        <v>34</v>
      </c>
      <c r="G8" s="50" t="str" cm="1">
        <f t="array" ref="G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8" s="51">
        <f>AVERAGEIF(tbl_performance[employee_id],A8,tbl_performance[performance_pct])</f>
        <v>0.80034900811378873</v>
      </c>
      <c r="I8" s="50">
        <f>COUNTIF(tbl_performance[employee_id],A8)</f>
        <v>10</v>
      </c>
      <c r="J8" s="50" t="str" cm="1">
        <f t="array" ref="J8">_xlfn.IFS(H8 &gt;= 1.1,"Excellent", H8&gt;=1,"Good",H8&gt;=0.85,"Average",TRUE,"Poor")</f>
        <v>Poor</v>
      </c>
      <c r="K8" s="50">
        <f>_xlfn.RANK.EQ(tbl_employee_summary[[#This Row],[avg_performance_pct]], tbl_employee_summary[avg_performance_pct], 0)</f>
        <v>91</v>
      </c>
    </row>
    <row r="9" spans="1:11" ht="19.8" x14ac:dyDescent="0.65">
      <c r="A9" s="45" t="s">
        <v>34</v>
      </c>
      <c r="B9" s="50" t="str">
        <f>_xlfn.XLOOKUP(A9,tbl_employee[employee_id],tbl_employee[name])</f>
        <v>Tom Chen</v>
      </c>
      <c r="C9" s="50" t="str">
        <f>_xlfn.XLOOKUP(A9,tbl_employee[employee_id],tbl_employee[role])</f>
        <v>Senior Software Engineer</v>
      </c>
      <c r="D9" s="50" t="str">
        <f>_xlfn.XLOOKUP(A9,tbl_employee[employee_id],tbl_employee[department])</f>
        <v>Engineering</v>
      </c>
      <c r="E9" s="50" t="str">
        <f>_xlfn.XLOOKUP(A9,tbl_employee[employee_id],tbl_employee[gender])</f>
        <v>Male</v>
      </c>
      <c r="F9" s="50">
        <f>_xlfn.XLOOKUP(A9,tbl_employee[employee_id],tbl_employee[age])</f>
        <v>27</v>
      </c>
      <c r="G9" s="50" t="str" cm="1">
        <f t="array" ref="G9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9" s="51">
        <f>AVERAGEIF(tbl_performance[employee_id],A9,tbl_performance[performance_pct])</f>
        <v>0.96508276080644506</v>
      </c>
      <c r="I9" s="50">
        <f>COUNTIF(tbl_performance[employee_id],A9)</f>
        <v>12</v>
      </c>
      <c r="J9" s="50" t="str" cm="1">
        <f t="array" ref="J9">_xlfn.IFS(H9 &gt;= 1.1,"Excellent", H9&gt;=1,"Good",H9&gt;=0.85,"Average",TRUE,"Poor")</f>
        <v>Average</v>
      </c>
      <c r="K9" s="50">
        <f>_xlfn.RANK.EQ(tbl_employee_summary[[#This Row],[avg_performance_pct]], tbl_employee_summary[avg_performance_pct], 0)</f>
        <v>53</v>
      </c>
    </row>
    <row r="10" spans="1:11" ht="19.8" x14ac:dyDescent="0.65">
      <c r="A10" s="45" t="s">
        <v>38</v>
      </c>
      <c r="B10" s="50" t="str">
        <f>_xlfn.XLOOKUP(A10,tbl_employee[employee_id],tbl_employee[name])</f>
        <v>Adeel Hassan</v>
      </c>
      <c r="C10" s="50" t="str">
        <f>_xlfn.XLOOKUP(A10,tbl_employee[employee_id],tbl_employee[role])</f>
        <v>Support Team Lead</v>
      </c>
      <c r="D10" s="50" t="str">
        <f>_xlfn.XLOOKUP(A10,tbl_employee[employee_id],tbl_employee[department])</f>
        <v>Customer Support</v>
      </c>
      <c r="E10" s="50" t="str">
        <f>_xlfn.XLOOKUP(A10,tbl_employee[employee_id],tbl_employee[gender])</f>
        <v>Male</v>
      </c>
      <c r="F10" s="50">
        <f>_xlfn.XLOOKUP(A10,tbl_employee[employee_id],tbl_employee[age])</f>
        <v>37</v>
      </c>
      <c r="G10" s="50" t="str" cm="1">
        <f t="array" ref="G10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0" s="51">
        <f>AVERAGEIF(tbl_performance[employee_id],A10,tbl_performance[performance_pct])</f>
        <v>0.9915808661065636</v>
      </c>
      <c r="I10" s="50">
        <f>COUNTIF(tbl_performance[employee_id],A10)</f>
        <v>12</v>
      </c>
      <c r="J10" s="50" t="str" cm="1">
        <f t="array" ref="J10">_xlfn.IFS(H10 &gt;= 1.1,"Excellent", H10&gt;=1,"Good",H10&gt;=0.85,"Average",TRUE,"Poor")</f>
        <v>Average</v>
      </c>
      <c r="K10" s="50">
        <f>_xlfn.RANK.EQ(tbl_employee_summary[[#This Row],[avg_performance_pct]], tbl_employee_summary[avg_performance_pct], 0)</f>
        <v>44</v>
      </c>
    </row>
    <row r="11" spans="1:11" ht="19.8" x14ac:dyDescent="0.65">
      <c r="A11" s="45" t="s">
        <v>41</v>
      </c>
      <c r="B11" s="50" t="str">
        <f>_xlfn.XLOOKUP(A11,tbl_employee[employee_id],tbl_employee[name])</f>
        <v>Ali Gupta</v>
      </c>
      <c r="C11" s="50" t="str">
        <f>_xlfn.XLOOKUP(A11,tbl_employee[employee_id],tbl_employee[role])</f>
        <v>Sales Manager</v>
      </c>
      <c r="D11" s="50" t="str">
        <f>_xlfn.XLOOKUP(A11,tbl_employee[employee_id],tbl_employee[department])</f>
        <v>Sales</v>
      </c>
      <c r="E11" s="50" t="str">
        <f>_xlfn.XLOOKUP(A11,tbl_employee[employee_id],tbl_employee[gender])</f>
        <v>Male</v>
      </c>
      <c r="F11" s="50">
        <f>_xlfn.XLOOKUP(A11,tbl_employee[employee_id],tbl_employee[age])</f>
        <v>36</v>
      </c>
      <c r="G11" s="50" t="str" cm="1">
        <f t="array" ref="G1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1" s="51">
        <f>AVERAGEIF(tbl_performance[employee_id],A11,tbl_performance[performance_pct])</f>
        <v>1.0366573024420738</v>
      </c>
      <c r="I11" s="50">
        <f>COUNTIF(tbl_performance[employee_id],A11)</f>
        <v>12</v>
      </c>
      <c r="J11" s="50" t="str" cm="1">
        <f t="array" ref="J11">_xlfn.IFS(H11 &gt;= 1.1,"Excellent", H11&gt;=1,"Good",H11&gt;=0.85,"Average",TRUE,"Poor")</f>
        <v>Good</v>
      </c>
      <c r="K11" s="50">
        <f>_xlfn.RANK.EQ(tbl_employee_summary[[#This Row],[avg_performance_pct]], tbl_employee_summary[avg_performance_pct], 0)</f>
        <v>24</v>
      </c>
    </row>
    <row r="12" spans="1:11" ht="19.8" x14ac:dyDescent="0.65">
      <c r="A12" s="45" t="s">
        <v>44</v>
      </c>
      <c r="B12" s="50" t="str">
        <f>_xlfn.XLOOKUP(A12,tbl_employee[employee_id],tbl_employee[name])</f>
        <v>Karan Ali</v>
      </c>
      <c r="C12" s="50" t="str">
        <f>_xlfn.XLOOKUP(A12,tbl_employee[employee_id],tbl_employee[role])</f>
        <v>Marketing Executive</v>
      </c>
      <c r="D12" s="50" t="str">
        <f>_xlfn.XLOOKUP(A12,tbl_employee[employee_id],tbl_employee[department])</f>
        <v>Marketing</v>
      </c>
      <c r="E12" s="50" t="str">
        <f>_xlfn.XLOOKUP(A12,tbl_employee[employee_id],tbl_employee[gender])</f>
        <v>Male</v>
      </c>
      <c r="F12" s="50">
        <f>_xlfn.XLOOKUP(A12,tbl_employee[employee_id],tbl_employee[age])</f>
        <v>27</v>
      </c>
      <c r="G12" s="50" t="str" cm="1">
        <f t="array" ref="G1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2" s="51">
        <f>AVERAGEIF(tbl_performance[employee_id],A12,tbl_performance[performance_pct])</f>
        <v>0.95768229051738096</v>
      </c>
      <c r="I12" s="50">
        <f>COUNTIF(tbl_performance[employee_id],A12)</f>
        <v>12</v>
      </c>
      <c r="J12" s="50" t="str" cm="1">
        <f t="array" ref="J12">_xlfn.IFS(H12 &gt;= 1.1,"Excellent", H12&gt;=1,"Good",H12&gt;=0.85,"Average",TRUE,"Poor")</f>
        <v>Average</v>
      </c>
      <c r="K12" s="50">
        <f>_xlfn.RANK.EQ(tbl_employee_summary[[#This Row],[avg_performance_pct]], tbl_employee_summary[avg_performance_pct], 0)</f>
        <v>56</v>
      </c>
    </row>
    <row r="13" spans="1:11" ht="19.8" x14ac:dyDescent="0.65">
      <c r="A13" s="45" t="s">
        <v>46</v>
      </c>
      <c r="B13" s="50" t="str">
        <f>_xlfn.XLOOKUP(A13,tbl_employee[employee_id],tbl_employee[name])</f>
        <v>Ali Ali</v>
      </c>
      <c r="C13" s="50" t="str">
        <f>_xlfn.XLOOKUP(A13,tbl_employee[employee_id],tbl_employee[role])</f>
        <v>Sales Manager</v>
      </c>
      <c r="D13" s="50" t="str">
        <f>_xlfn.XLOOKUP(A13,tbl_employee[employee_id],tbl_employee[department])</f>
        <v>Sales</v>
      </c>
      <c r="E13" s="50" t="str">
        <f>_xlfn.XLOOKUP(A13,tbl_employee[employee_id],tbl_employee[gender])</f>
        <v>Male</v>
      </c>
      <c r="F13" s="50">
        <f>_xlfn.XLOOKUP(A13,tbl_employee[employee_id],tbl_employee[age])</f>
        <v>36</v>
      </c>
      <c r="G13" s="50" t="str" cm="1">
        <f t="array" ref="G13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3" s="51">
        <f>AVERAGEIF(tbl_performance[employee_id],A13,tbl_performance[performance_pct])</f>
        <v>1.0103112424860849</v>
      </c>
      <c r="I13" s="50">
        <f>COUNTIF(tbl_performance[employee_id],A13)</f>
        <v>12</v>
      </c>
      <c r="J13" s="50" t="str" cm="1">
        <f t="array" ref="J13">_xlfn.IFS(H13 &gt;= 1.1,"Excellent", H13&gt;=1,"Good",H13&gt;=0.85,"Average",TRUE,"Poor")</f>
        <v>Good</v>
      </c>
      <c r="K13" s="50">
        <f>_xlfn.RANK.EQ(tbl_employee_summary[[#This Row],[avg_performance_pct]], tbl_employee_summary[avg_performance_pct], 0)</f>
        <v>35</v>
      </c>
    </row>
    <row r="14" spans="1:11" ht="19.8" x14ac:dyDescent="0.65">
      <c r="A14" s="45" t="s">
        <v>48</v>
      </c>
      <c r="B14" s="50" t="str">
        <f>_xlfn.XLOOKUP(A14,tbl_employee[employee_id],tbl_employee[name])</f>
        <v>Divya Hussain</v>
      </c>
      <c r="C14" s="50" t="str">
        <f>_xlfn.XLOOKUP(A14,tbl_employee[employee_id],tbl_employee[role])</f>
        <v>Software Engineer</v>
      </c>
      <c r="D14" s="50" t="str">
        <f>_xlfn.XLOOKUP(A14,tbl_employee[employee_id],tbl_employee[department])</f>
        <v>Engineering</v>
      </c>
      <c r="E14" s="50" t="str">
        <f>_xlfn.XLOOKUP(A14,tbl_employee[employee_id],tbl_employee[gender])</f>
        <v>Female</v>
      </c>
      <c r="F14" s="50">
        <f>_xlfn.XLOOKUP(A14,tbl_employee[employee_id],tbl_employee[age])</f>
        <v>22</v>
      </c>
      <c r="G14" s="50" t="str" cm="1">
        <f t="array" ref="G1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4" s="51">
        <f>AVERAGEIF(tbl_performance[employee_id],A14,tbl_performance[performance_pct])</f>
        <v>0.96075981590094484</v>
      </c>
      <c r="I14" s="50">
        <f>COUNTIF(tbl_performance[employee_id],A14)</f>
        <v>12</v>
      </c>
      <c r="J14" s="50" t="str" cm="1">
        <f t="array" ref="J14">_xlfn.IFS(H14 &gt;= 1.1,"Excellent", H14&gt;=1,"Good",H14&gt;=0.85,"Average",TRUE,"Poor")</f>
        <v>Average</v>
      </c>
      <c r="K14" s="50">
        <f>_xlfn.RANK.EQ(tbl_employee_summary[[#This Row],[avg_performance_pct]], tbl_employee_summary[avg_performance_pct], 0)</f>
        <v>55</v>
      </c>
    </row>
    <row r="15" spans="1:11" ht="19.8" x14ac:dyDescent="0.65">
      <c r="A15" s="45" t="s">
        <v>51</v>
      </c>
      <c r="B15" s="50" t="str">
        <f>_xlfn.XLOOKUP(A15,tbl_employee[employee_id],tbl_employee[name])</f>
        <v>Vikram Hussain</v>
      </c>
      <c r="C15" s="50" t="str">
        <f>_xlfn.XLOOKUP(A15,tbl_employee[employee_id],tbl_employee[role])</f>
        <v>Sales Executive</v>
      </c>
      <c r="D15" s="50" t="str">
        <f>_xlfn.XLOOKUP(A15,tbl_employee[employee_id],tbl_employee[department])</f>
        <v>Sales</v>
      </c>
      <c r="E15" s="50" t="str">
        <f>_xlfn.XLOOKUP(A15,tbl_employee[employee_id],tbl_employee[gender])</f>
        <v>Male</v>
      </c>
      <c r="F15" s="50">
        <f>_xlfn.XLOOKUP(A15,tbl_employee[employee_id],tbl_employee[age])</f>
        <v>26</v>
      </c>
      <c r="G15" s="50" t="str" cm="1">
        <f t="array" ref="G15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5" s="51">
        <f>AVERAGEIF(tbl_performance[employee_id],A15,tbl_performance[performance_pct])</f>
        <v>0.78866064008383885</v>
      </c>
      <c r="I15" s="50">
        <f>COUNTIF(tbl_performance[employee_id],A15)</f>
        <v>12</v>
      </c>
      <c r="J15" s="50" t="str" cm="1">
        <f t="array" ref="J15">_xlfn.IFS(H15 &gt;= 1.1,"Excellent", H15&gt;=1,"Good",H15&gt;=0.85,"Average",TRUE,"Poor")</f>
        <v>Poor</v>
      </c>
      <c r="K15" s="50">
        <f>_xlfn.RANK.EQ(tbl_employee_summary[[#This Row],[avg_performance_pct]], tbl_employee_summary[avg_performance_pct], 0)</f>
        <v>94</v>
      </c>
    </row>
    <row r="16" spans="1:11" ht="19.8" x14ac:dyDescent="0.65">
      <c r="A16" s="45" t="s">
        <v>53</v>
      </c>
      <c r="B16" s="50" t="str">
        <f>_xlfn.XLOOKUP(A16,tbl_employee[employee_id],tbl_employee[name])</f>
        <v>Mark Mohammed</v>
      </c>
      <c r="C16" s="50" t="str">
        <f>_xlfn.XLOOKUP(A16,tbl_employee[employee_id],tbl_employee[role])</f>
        <v>Sales Executive</v>
      </c>
      <c r="D16" s="50" t="str">
        <f>_xlfn.XLOOKUP(A16,tbl_employee[employee_id],tbl_employee[department])</f>
        <v>Sales</v>
      </c>
      <c r="E16" s="50" t="str">
        <f>_xlfn.XLOOKUP(A16,tbl_employee[employee_id],tbl_employee[gender])</f>
        <v>Male</v>
      </c>
      <c r="F16" s="50">
        <f>_xlfn.XLOOKUP(A16,tbl_employee[employee_id],tbl_employee[age])</f>
        <v>23</v>
      </c>
      <c r="G16" s="50" t="str" cm="1">
        <f t="array" ref="G1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6" s="51">
        <f>AVERAGEIF(tbl_performance[employee_id],A16,tbl_performance[performance_pct])</f>
        <v>0.97691883737618213</v>
      </c>
      <c r="I16" s="50">
        <f>COUNTIF(tbl_performance[employee_id],A16)</f>
        <v>12</v>
      </c>
      <c r="J16" s="50" t="str" cm="1">
        <f t="array" ref="J16">_xlfn.IFS(H16 &gt;= 1.1,"Excellent", H16&gt;=1,"Good",H16&gt;=0.85,"Average",TRUE,"Poor")</f>
        <v>Average</v>
      </c>
      <c r="K16" s="50">
        <f>_xlfn.RANK.EQ(tbl_employee_summary[[#This Row],[avg_performance_pct]], tbl_employee_summary[avg_performance_pct], 0)</f>
        <v>48</v>
      </c>
    </row>
    <row r="17" spans="1:11" ht="19.8" x14ac:dyDescent="0.65">
      <c r="A17" s="45" t="s">
        <v>55</v>
      </c>
      <c r="B17" s="50" t="str">
        <f>_xlfn.XLOOKUP(A17,tbl_employee[employee_id],tbl_employee[name])</f>
        <v>James Kumar</v>
      </c>
      <c r="C17" s="50" t="str">
        <f>_xlfn.XLOOKUP(A17,tbl_employee[employee_id],tbl_employee[role])</f>
        <v>Operations Associate</v>
      </c>
      <c r="D17" s="50" t="str">
        <f>_xlfn.XLOOKUP(A17,tbl_employee[employee_id],tbl_employee[department])</f>
        <v>Operations</v>
      </c>
      <c r="E17" s="50" t="str">
        <f>_xlfn.XLOOKUP(A17,tbl_employee[employee_id],tbl_employee[gender])</f>
        <v>Male</v>
      </c>
      <c r="F17" s="50">
        <f>_xlfn.XLOOKUP(A17,tbl_employee[employee_id],tbl_employee[age])</f>
        <v>27</v>
      </c>
      <c r="G17" s="50" t="str" cm="1">
        <f t="array" ref="G1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7" s="51">
        <f>AVERAGEIF(tbl_performance[employee_id],A17,tbl_performance[performance_pct])</f>
        <v>0.94433070000809849</v>
      </c>
      <c r="I17" s="50">
        <f>COUNTIF(tbl_performance[employee_id],A17)</f>
        <v>12</v>
      </c>
      <c r="J17" s="50" t="str" cm="1">
        <f t="array" ref="J17">_xlfn.IFS(H17 &gt;= 1.1,"Excellent", H17&gt;=1,"Good",H17&gt;=0.85,"Average",TRUE,"Poor")</f>
        <v>Average</v>
      </c>
      <c r="K17" s="50">
        <f>_xlfn.RANK.EQ(tbl_employee_summary[[#This Row],[avg_performance_pct]], tbl_employee_summary[avg_performance_pct], 0)</f>
        <v>61</v>
      </c>
    </row>
    <row r="18" spans="1:11" ht="19.8" x14ac:dyDescent="0.65">
      <c r="A18" s="45" t="s">
        <v>58</v>
      </c>
      <c r="B18" s="50" t="str">
        <f>_xlfn.XLOOKUP(A18,tbl_employee[employee_id],tbl_employee[name])</f>
        <v>Zara Rodriguez</v>
      </c>
      <c r="C18" s="50" t="str">
        <f>_xlfn.XLOOKUP(A18,tbl_employee[employee_id],tbl_employee[role])</f>
        <v>HR Generalist</v>
      </c>
      <c r="D18" s="50" t="str">
        <f>_xlfn.XLOOKUP(A18,tbl_employee[employee_id],tbl_employee[department])</f>
        <v>HR</v>
      </c>
      <c r="E18" s="50" t="str">
        <f>_xlfn.XLOOKUP(A18,tbl_employee[employee_id],tbl_employee[gender])</f>
        <v>Female</v>
      </c>
      <c r="F18" s="50">
        <f>_xlfn.XLOOKUP(A18,tbl_employee[employee_id],tbl_employee[age])</f>
        <v>33</v>
      </c>
      <c r="G18" s="50" t="str" cm="1">
        <f t="array" ref="G1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8" s="51">
        <f>AVERAGEIF(tbl_performance[employee_id],A18,tbl_performance[performance_pct])</f>
        <v>1.0807189542483659</v>
      </c>
      <c r="I18" s="50">
        <f>COUNTIF(tbl_performance[employee_id],A18)</f>
        <v>12</v>
      </c>
      <c r="J18" s="50" t="str" cm="1">
        <f t="array" ref="J18">_xlfn.IFS(H18 &gt;= 1.1,"Excellent", H18&gt;=1,"Good",H18&gt;=0.85,"Average",TRUE,"Poor")</f>
        <v>Good</v>
      </c>
      <c r="K18" s="50">
        <f>_xlfn.RANK.EQ(tbl_employee_summary[[#This Row],[avg_performance_pct]], tbl_employee_summary[avg_performance_pct], 0)</f>
        <v>11</v>
      </c>
    </row>
    <row r="19" spans="1:11" ht="19.8" x14ac:dyDescent="0.65">
      <c r="A19" s="45" t="s">
        <v>62</v>
      </c>
      <c r="B19" s="50" t="str">
        <f>_xlfn.XLOOKUP(A19,tbl_employee[employee_id],tbl_employee[name])</f>
        <v>Karan Al Mansoori</v>
      </c>
      <c r="C19" s="50" t="str">
        <f>_xlfn.XLOOKUP(A19,tbl_employee[employee_id],tbl_employee[role])</f>
        <v>Senior Support Associate</v>
      </c>
      <c r="D19" s="50" t="str">
        <f>_xlfn.XLOOKUP(A19,tbl_employee[employee_id],tbl_employee[department])</f>
        <v>Customer Support</v>
      </c>
      <c r="E19" s="50" t="str">
        <f>_xlfn.XLOOKUP(A19,tbl_employee[employee_id],tbl_employee[gender])</f>
        <v>Male</v>
      </c>
      <c r="F19" s="50">
        <f>_xlfn.XLOOKUP(A19,tbl_employee[employee_id],tbl_employee[age])</f>
        <v>30</v>
      </c>
      <c r="G19" s="50" t="str" cm="1">
        <f t="array" ref="G19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9" s="51">
        <f>AVERAGEIF(tbl_performance[employee_id],A19,tbl_performance[performance_pct])</f>
        <v>0.79703746458283631</v>
      </c>
      <c r="I19" s="50">
        <f>COUNTIF(tbl_performance[employee_id],A19)</f>
        <v>3</v>
      </c>
      <c r="J19" s="50" t="str" cm="1">
        <f t="array" ref="J19">_xlfn.IFS(H19 &gt;= 1.1,"Excellent", H19&gt;=1,"Good",H19&gt;=0.85,"Average",TRUE,"Poor")</f>
        <v>Poor</v>
      </c>
      <c r="K19" s="50">
        <f>_xlfn.RANK.EQ(tbl_employee_summary[[#This Row],[avg_performance_pct]], tbl_employee_summary[avg_performance_pct], 0)</f>
        <v>92</v>
      </c>
    </row>
    <row r="20" spans="1:11" ht="19.8" x14ac:dyDescent="0.65">
      <c r="A20" s="45" t="s">
        <v>64</v>
      </c>
      <c r="B20" s="50" t="str">
        <f>_xlfn.XLOOKUP(A20,tbl_employee[employee_id],tbl_employee[name])</f>
        <v>Faisal Sharma</v>
      </c>
      <c r="C20" s="50" t="str">
        <f>_xlfn.XLOOKUP(A20,tbl_employee[employee_id],tbl_employee[role])</f>
        <v>Financial Analyst</v>
      </c>
      <c r="D20" s="50" t="str">
        <f>_xlfn.XLOOKUP(A20,tbl_employee[employee_id],tbl_employee[department])</f>
        <v>Finance</v>
      </c>
      <c r="E20" s="50" t="str">
        <f>_xlfn.XLOOKUP(A20,tbl_employee[employee_id],tbl_employee[gender])</f>
        <v>Male</v>
      </c>
      <c r="F20" s="50">
        <f>_xlfn.XLOOKUP(A20,tbl_employee[employee_id],tbl_employee[age])</f>
        <v>37</v>
      </c>
      <c r="G20" s="50" t="str" cm="1">
        <f t="array" ref="G20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20" s="51">
        <f>AVERAGEIF(tbl_performance[employee_id],A20,tbl_performance[performance_pct])</f>
        <v>1.1130407334211683</v>
      </c>
      <c r="I20" s="50">
        <f>COUNTIF(tbl_performance[employee_id],A20)</f>
        <v>12</v>
      </c>
      <c r="J20" s="50" t="str" cm="1">
        <f t="array" ref="J20">_xlfn.IFS(H20 &gt;= 1.1,"Excellent", H20&gt;=1,"Good",H20&gt;=0.85,"Average",TRUE,"Poor")</f>
        <v>Excellent</v>
      </c>
      <c r="K20" s="50">
        <f>_xlfn.RANK.EQ(tbl_employee_summary[[#This Row],[avg_performance_pct]], tbl_employee_summary[avg_performance_pct], 0)</f>
        <v>5</v>
      </c>
    </row>
    <row r="21" spans="1:11" ht="19.8" x14ac:dyDescent="0.65">
      <c r="A21" s="45" t="s">
        <v>67</v>
      </c>
      <c r="B21" s="50" t="str">
        <f>_xlfn.XLOOKUP(A21,tbl_employee[employee_id],tbl_employee[name])</f>
        <v>Pooja Abdullah</v>
      </c>
      <c r="C21" s="50" t="str">
        <f>_xlfn.XLOOKUP(A21,tbl_employee[employee_id],tbl_employee[role])</f>
        <v>Marketing Manager</v>
      </c>
      <c r="D21" s="50" t="str">
        <f>_xlfn.XLOOKUP(A21,tbl_employee[employee_id],tbl_employee[department])</f>
        <v>Marketing</v>
      </c>
      <c r="E21" s="50" t="str">
        <f>_xlfn.XLOOKUP(A21,tbl_employee[employee_id],tbl_employee[gender])</f>
        <v>Female</v>
      </c>
      <c r="F21" s="50">
        <f>_xlfn.XLOOKUP(A21,tbl_employee[employee_id],tbl_employee[age])</f>
        <v>41</v>
      </c>
      <c r="G21" s="50" t="str" cm="1">
        <f t="array" ref="G21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21" s="51">
        <f>AVERAGEIF(tbl_performance[employee_id],A21,tbl_performance[performance_pct])</f>
        <v>0.91091583734702175</v>
      </c>
      <c r="I21" s="50">
        <f>COUNTIF(tbl_performance[employee_id],A21)</f>
        <v>12</v>
      </c>
      <c r="J21" s="50" t="str" cm="1">
        <f t="array" ref="J21">_xlfn.IFS(H21 &gt;= 1.1,"Excellent", H21&gt;=1,"Good",H21&gt;=0.85,"Average",TRUE,"Poor")</f>
        <v>Average</v>
      </c>
      <c r="K21" s="50">
        <f>_xlfn.RANK.EQ(tbl_employee_summary[[#This Row],[avg_performance_pct]], tbl_employee_summary[avg_performance_pct], 0)</f>
        <v>69</v>
      </c>
    </row>
    <row r="22" spans="1:11" ht="19.8" x14ac:dyDescent="0.65">
      <c r="A22" s="45" t="s">
        <v>69</v>
      </c>
      <c r="B22" s="50" t="str">
        <f>_xlfn.XLOOKUP(A22,tbl_employee[employee_id],tbl_employee[name])</f>
        <v>Andrew Nair</v>
      </c>
      <c r="C22" s="50" t="str">
        <f>_xlfn.XLOOKUP(A22,tbl_employee[employee_id],tbl_employee[role])</f>
        <v>Support Associate</v>
      </c>
      <c r="D22" s="50" t="str">
        <f>_xlfn.XLOOKUP(A22,tbl_employee[employee_id],tbl_employee[department])</f>
        <v>Customer Support</v>
      </c>
      <c r="E22" s="50" t="str">
        <f>_xlfn.XLOOKUP(A22,tbl_employee[employee_id],tbl_employee[gender])</f>
        <v>Male</v>
      </c>
      <c r="F22" s="50">
        <f>_xlfn.XLOOKUP(A22,tbl_employee[employee_id],tbl_employee[age])</f>
        <v>31</v>
      </c>
      <c r="G22" s="50" t="str" cm="1">
        <f t="array" ref="G22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22" s="51">
        <f>AVERAGEIF(tbl_performance[employee_id],A22,tbl_performance[performance_pct])</f>
        <v>0.85493632471178671</v>
      </c>
      <c r="I22" s="50">
        <f>COUNTIF(tbl_performance[employee_id],A22)</f>
        <v>12</v>
      </c>
      <c r="J22" s="50" t="str" cm="1">
        <f t="array" ref="J22">_xlfn.IFS(H22 &gt;= 1.1,"Excellent", H22&gt;=1,"Good",H22&gt;=0.85,"Average",TRUE,"Poor")</f>
        <v>Average</v>
      </c>
      <c r="K22" s="50">
        <f>_xlfn.RANK.EQ(tbl_employee_summary[[#This Row],[avg_performance_pct]], tbl_employee_summary[avg_performance_pct], 0)</f>
        <v>78</v>
      </c>
    </row>
    <row r="23" spans="1:11" ht="19.8" x14ac:dyDescent="0.65">
      <c r="A23" s="45" t="s">
        <v>72</v>
      </c>
      <c r="B23" s="50" t="str">
        <f>_xlfn.XLOOKUP(A23,tbl_employee[employee_id],tbl_employee[name])</f>
        <v>Khalid Thomas</v>
      </c>
      <c r="C23" s="50" t="str">
        <f>_xlfn.XLOOKUP(A23,tbl_employee[employee_id],tbl_employee[role])</f>
        <v>Sales Executive</v>
      </c>
      <c r="D23" s="50" t="str">
        <f>_xlfn.XLOOKUP(A23,tbl_employee[employee_id],tbl_employee[department])</f>
        <v>Sales</v>
      </c>
      <c r="E23" s="50" t="str">
        <f>_xlfn.XLOOKUP(A23,tbl_employee[employee_id],tbl_employee[gender])</f>
        <v>Male</v>
      </c>
      <c r="F23" s="50">
        <f>_xlfn.XLOOKUP(A23,tbl_employee[employee_id],tbl_employee[age])</f>
        <v>28</v>
      </c>
      <c r="G23" s="50" t="str" cm="1">
        <f t="array" ref="G2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23" s="51">
        <f>AVERAGEIF(tbl_performance[employee_id],A23,tbl_performance[performance_pct])</f>
        <v>0.99476537614659677</v>
      </c>
      <c r="I23" s="50">
        <f>COUNTIF(tbl_performance[employee_id],A23)</f>
        <v>12</v>
      </c>
      <c r="J23" s="50" t="str" cm="1">
        <f t="array" ref="J23">_xlfn.IFS(H23 &gt;= 1.1,"Excellent", H23&gt;=1,"Good",H23&gt;=0.85,"Average",TRUE,"Poor")</f>
        <v>Average</v>
      </c>
      <c r="K23" s="50">
        <f>_xlfn.RANK.EQ(tbl_employee_summary[[#This Row],[avg_performance_pct]], tbl_employee_summary[avg_performance_pct], 0)</f>
        <v>43</v>
      </c>
    </row>
    <row r="24" spans="1:11" ht="19.8" x14ac:dyDescent="0.65">
      <c r="A24" s="45" t="s">
        <v>74</v>
      </c>
      <c r="B24" s="50" t="str">
        <f>_xlfn.XLOOKUP(A24,tbl_employee[employee_id],tbl_employee[name])</f>
        <v>Anna Mohammed</v>
      </c>
      <c r="C24" s="50" t="str">
        <f>_xlfn.XLOOKUP(A24,tbl_employee[employee_id],tbl_employee[role])</f>
        <v>Marketing Executive</v>
      </c>
      <c r="D24" s="50" t="str">
        <f>_xlfn.XLOOKUP(A24,tbl_employee[employee_id],tbl_employee[department])</f>
        <v>Marketing</v>
      </c>
      <c r="E24" s="50" t="str">
        <f>_xlfn.XLOOKUP(A24,tbl_employee[employee_id],tbl_employee[gender])</f>
        <v>Female</v>
      </c>
      <c r="F24" s="50">
        <f>_xlfn.XLOOKUP(A24,tbl_employee[employee_id],tbl_employee[age])</f>
        <v>22</v>
      </c>
      <c r="G24" s="50" t="str" cm="1">
        <f t="array" ref="G2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24" s="51">
        <f>AVERAGEIF(tbl_performance[employee_id],A24,tbl_performance[performance_pct])</f>
        <v>0.88667633378529731</v>
      </c>
      <c r="I24" s="50">
        <f>COUNTIF(tbl_performance[employee_id],A24)</f>
        <v>9</v>
      </c>
      <c r="J24" s="50" t="str" cm="1">
        <f t="array" ref="J24">_xlfn.IFS(H24 &gt;= 1.1,"Excellent", H24&gt;=1,"Good",H24&gt;=0.85,"Average",TRUE,"Poor")</f>
        <v>Average</v>
      </c>
      <c r="K24" s="50">
        <f>_xlfn.RANK.EQ(tbl_employee_summary[[#This Row],[avg_performance_pct]], tbl_employee_summary[avg_performance_pct], 0)</f>
        <v>75</v>
      </c>
    </row>
    <row r="25" spans="1:11" ht="19.8" x14ac:dyDescent="0.65">
      <c r="A25" s="45" t="s">
        <v>76</v>
      </c>
      <c r="B25" s="50" t="str">
        <f>_xlfn.XLOOKUP(A25,tbl_employee[employee_id],tbl_employee[name])</f>
        <v>Carlos Lee</v>
      </c>
      <c r="C25" s="50" t="str">
        <f>_xlfn.XLOOKUP(A25,tbl_employee[employee_id],tbl_employee[role])</f>
        <v>Accountant</v>
      </c>
      <c r="D25" s="50" t="str">
        <f>_xlfn.XLOOKUP(A25,tbl_employee[employee_id],tbl_employee[department])</f>
        <v>Finance</v>
      </c>
      <c r="E25" s="50" t="str">
        <f>_xlfn.XLOOKUP(A25,tbl_employee[employee_id],tbl_employee[gender])</f>
        <v>Male</v>
      </c>
      <c r="F25" s="50">
        <f>_xlfn.XLOOKUP(A25,tbl_employee[employee_id],tbl_employee[age])</f>
        <v>29</v>
      </c>
      <c r="G25" s="50" t="str" cm="1">
        <f t="array" ref="G25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25" s="51">
        <f>AVERAGEIF(tbl_performance[employee_id],A25,tbl_performance[performance_pct])</f>
        <v>1.0553933747412005</v>
      </c>
      <c r="I25" s="50">
        <f>COUNTIF(tbl_performance[employee_id],A25)</f>
        <v>12</v>
      </c>
      <c r="J25" s="50" t="str" cm="1">
        <f t="array" ref="J25">_xlfn.IFS(H25 &gt;= 1.1,"Excellent", H25&gt;=1,"Good",H25&gt;=0.85,"Average",TRUE,"Poor")</f>
        <v>Good</v>
      </c>
      <c r="K25" s="50">
        <f>_xlfn.RANK.EQ(tbl_employee_summary[[#This Row],[avg_performance_pct]], tbl_employee_summary[avg_performance_pct], 0)</f>
        <v>21</v>
      </c>
    </row>
    <row r="26" spans="1:11" ht="19.8" x14ac:dyDescent="0.65">
      <c r="A26" s="45" t="s">
        <v>78</v>
      </c>
      <c r="B26" s="50" t="str">
        <f>_xlfn.XLOOKUP(A26,tbl_employee[employee_id],tbl_employee[name])</f>
        <v>Noor Farooq</v>
      </c>
      <c r="C26" s="50" t="str">
        <f>_xlfn.XLOOKUP(A26,tbl_employee[employee_id],tbl_employee[role])</f>
        <v>HR Executive</v>
      </c>
      <c r="D26" s="50" t="str">
        <f>_xlfn.XLOOKUP(A26,tbl_employee[employee_id],tbl_employee[department])</f>
        <v>HR</v>
      </c>
      <c r="E26" s="50" t="str">
        <f>_xlfn.XLOOKUP(A26,tbl_employee[employee_id],tbl_employee[gender])</f>
        <v>Female</v>
      </c>
      <c r="F26" s="50">
        <f>_xlfn.XLOOKUP(A26,tbl_employee[employee_id],tbl_employee[age])</f>
        <v>25</v>
      </c>
      <c r="G26" s="50" t="str" cm="1">
        <f t="array" ref="G2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26" s="51">
        <f>AVERAGEIF(tbl_performance[employee_id],A26,tbl_performance[performance_pct])</f>
        <v>0.97612942612942621</v>
      </c>
      <c r="I26" s="50">
        <f>COUNTIF(tbl_performance[employee_id],A26)</f>
        <v>12</v>
      </c>
      <c r="J26" s="50" t="str" cm="1">
        <f t="array" ref="J26">_xlfn.IFS(H26 &gt;= 1.1,"Excellent", H26&gt;=1,"Good",H26&gt;=0.85,"Average",TRUE,"Poor")</f>
        <v>Average</v>
      </c>
      <c r="K26" s="50">
        <f>_xlfn.RANK.EQ(tbl_employee_summary[[#This Row],[avg_performance_pct]], tbl_employee_summary[avg_performance_pct], 0)</f>
        <v>49</v>
      </c>
    </row>
    <row r="27" spans="1:11" ht="19.8" x14ac:dyDescent="0.65">
      <c r="A27" s="45" t="s">
        <v>81</v>
      </c>
      <c r="B27" s="50" t="str">
        <f>_xlfn.XLOOKUP(A27,tbl_employee[employee_id],tbl_employee[name])</f>
        <v>Neha Singh</v>
      </c>
      <c r="C27" s="50" t="str">
        <f>_xlfn.XLOOKUP(A27,tbl_employee[employee_id],tbl_employee[role])</f>
        <v>Operations Analyst</v>
      </c>
      <c r="D27" s="50" t="str">
        <f>_xlfn.XLOOKUP(A27,tbl_employee[employee_id],tbl_employee[department])</f>
        <v>Operations</v>
      </c>
      <c r="E27" s="50" t="str">
        <f>_xlfn.XLOOKUP(A27,tbl_employee[employee_id],tbl_employee[gender])</f>
        <v>Female</v>
      </c>
      <c r="F27" s="50">
        <f>_xlfn.XLOOKUP(A27,tbl_employee[employee_id],tbl_employee[age])</f>
        <v>39</v>
      </c>
      <c r="G27" s="50" t="str" cm="1">
        <f t="array" ref="G27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27" s="51">
        <f>AVERAGEIF(tbl_performance[employee_id],A27,tbl_performance[performance_pct])</f>
        <v>0.83117031789983853</v>
      </c>
      <c r="I27" s="50">
        <f>COUNTIF(tbl_performance[employee_id],A27)</f>
        <v>12</v>
      </c>
      <c r="J27" s="50" t="str" cm="1">
        <f t="array" ref="J27">_xlfn.IFS(H27 &gt;= 1.1,"Excellent", H27&gt;=1,"Good",H27&gt;=0.85,"Average",TRUE,"Poor")</f>
        <v>Poor</v>
      </c>
      <c r="K27" s="50">
        <f>_xlfn.RANK.EQ(tbl_employee_summary[[#This Row],[avg_performance_pct]], tbl_employee_summary[avg_performance_pct], 0)</f>
        <v>84</v>
      </c>
    </row>
    <row r="28" spans="1:11" ht="19.8" x14ac:dyDescent="0.65">
      <c r="A28" s="45" t="s">
        <v>84</v>
      </c>
      <c r="B28" s="50" t="str">
        <f>_xlfn.XLOOKUP(A28,tbl_employee[employee_id],tbl_employee[name])</f>
        <v>Divya Kumar</v>
      </c>
      <c r="C28" s="50" t="str">
        <f>_xlfn.XLOOKUP(A28,tbl_employee[employee_id],tbl_employee[role])</f>
        <v>Marketing Executive</v>
      </c>
      <c r="D28" s="50" t="str">
        <f>_xlfn.XLOOKUP(A28,tbl_employee[employee_id],tbl_employee[department])</f>
        <v>Marketing</v>
      </c>
      <c r="E28" s="50" t="str">
        <f>_xlfn.XLOOKUP(A28,tbl_employee[employee_id],tbl_employee[gender])</f>
        <v>Female</v>
      </c>
      <c r="F28" s="50">
        <f>_xlfn.XLOOKUP(A28,tbl_employee[employee_id],tbl_employee[age])</f>
        <v>32</v>
      </c>
      <c r="G28" s="50" t="str" cm="1">
        <f t="array" ref="G2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28" s="51">
        <f>AVERAGEIF(tbl_performance[employee_id],A28,tbl_performance[performance_pct])</f>
        <v>1.006002663111544</v>
      </c>
      <c r="I28" s="50">
        <f>COUNTIF(tbl_performance[employee_id],A28)</f>
        <v>9</v>
      </c>
      <c r="J28" s="50" t="str" cm="1">
        <f t="array" ref="J28">_xlfn.IFS(H28 &gt;= 1.1,"Excellent", H28&gt;=1,"Good",H28&gt;=0.85,"Average",TRUE,"Poor")</f>
        <v>Good</v>
      </c>
      <c r="K28" s="50">
        <f>_xlfn.RANK.EQ(tbl_employee_summary[[#This Row],[avg_performance_pct]], tbl_employee_summary[avg_performance_pct], 0)</f>
        <v>39</v>
      </c>
    </row>
    <row r="29" spans="1:11" ht="19.8" x14ac:dyDescent="0.65">
      <c r="A29" s="45" t="s">
        <v>86</v>
      </c>
      <c r="B29" s="50" t="str">
        <f>_xlfn.XLOOKUP(A29,tbl_employee[employee_id],tbl_employee[name])</f>
        <v>Rachel Garcia</v>
      </c>
      <c r="C29" s="50" t="str">
        <f>_xlfn.XLOOKUP(A29,tbl_employee[employee_id],tbl_employee[role])</f>
        <v>Finance Manager</v>
      </c>
      <c r="D29" s="50" t="str">
        <f>_xlfn.XLOOKUP(A29,tbl_employee[employee_id],tbl_employee[department])</f>
        <v>Finance</v>
      </c>
      <c r="E29" s="50" t="str">
        <f>_xlfn.XLOOKUP(A29,tbl_employee[employee_id],tbl_employee[gender])</f>
        <v>Female</v>
      </c>
      <c r="F29" s="50">
        <f>_xlfn.XLOOKUP(A29,tbl_employee[employee_id],tbl_employee[age])</f>
        <v>41</v>
      </c>
      <c r="G29" s="50" t="str" cm="1">
        <f t="array" ref="G29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29" s="51">
        <f>AVERAGEIF(tbl_performance[employee_id],A29,tbl_performance[performance_pct])</f>
        <v>1.1045083783655969</v>
      </c>
      <c r="I29" s="50">
        <f>COUNTIF(tbl_performance[employee_id],A29)</f>
        <v>12</v>
      </c>
      <c r="J29" s="50" t="str" cm="1">
        <f t="array" ref="J29">_xlfn.IFS(H29 &gt;= 1.1,"Excellent", H29&gt;=1,"Good",H29&gt;=0.85,"Average",TRUE,"Poor")</f>
        <v>Excellent</v>
      </c>
      <c r="K29" s="50">
        <f>_xlfn.RANK.EQ(tbl_employee_summary[[#This Row],[avg_performance_pct]], tbl_employee_summary[avg_performance_pct], 0)</f>
        <v>8</v>
      </c>
    </row>
    <row r="30" spans="1:11" ht="19.8" x14ac:dyDescent="0.65">
      <c r="A30" s="45" t="s">
        <v>89</v>
      </c>
      <c r="B30" s="50" t="str">
        <f>_xlfn.XLOOKUP(A30,tbl_employee[employee_id],tbl_employee[name])</f>
        <v>Amal Abdullah</v>
      </c>
      <c r="C30" s="50" t="str">
        <f>_xlfn.XLOOKUP(A30,tbl_employee[employee_id],tbl_employee[role])</f>
        <v>Marketing Manager</v>
      </c>
      <c r="D30" s="50" t="str">
        <f>_xlfn.XLOOKUP(A30,tbl_employee[employee_id],tbl_employee[department])</f>
        <v>Marketing</v>
      </c>
      <c r="E30" s="50" t="str">
        <f>_xlfn.XLOOKUP(A30,tbl_employee[employee_id],tbl_employee[gender])</f>
        <v>Female</v>
      </c>
      <c r="F30" s="50">
        <f>_xlfn.XLOOKUP(A30,tbl_employee[employee_id],tbl_employee[age])</f>
        <v>45</v>
      </c>
      <c r="G30" s="50" t="str" cm="1">
        <f t="array" ref="G30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30" s="51">
        <f>AVERAGEIF(tbl_performance[employee_id],A30,tbl_performance[performance_pct])</f>
        <v>0.89548794841367074</v>
      </c>
      <c r="I30" s="50">
        <f>COUNTIF(tbl_performance[employee_id],A30)</f>
        <v>12</v>
      </c>
      <c r="J30" s="50" t="str" cm="1">
        <f t="array" ref="J30">_xlfn.IFS(H30 &gt;= 1.1,"Excellent", H30&gt;=1,"Good",H30&gt;=0.85,"Average",TRUE,"Poor")</f>
        <v>Average</v>
      </c>
      <c r="K30" s="50">
        <f>_xlfn.RANK.EQ(tbl_employee_summary[[#This Row],[avg_performance_pct]], tbl_employee_summary[avg_performance_pct], 0)</f>
        <v>72</v>
      </c>
    </row>
    <row r="31" spans="1:11" ht="19.8" x14ac:dyDescent="0.65">
      <c r="A31" s="45" t="s">
        <v>91</v>
      </c>
      <c r="B31" s="50" t="str">
        <f>_xlfn.XLOOKUP(A31,tbl_employee[employee_id],tbl_employee[name])</f>
        <v>Layla Mohammed</v>
      </c>
      <c r="C31" s="50" t="str">
        <f>_xlfn.XLOOKUP(A31,tbl_employee[employee_id],tbl_employee[role])</f>
        <v>Support Associate</v>
      </c>
      <c r="D31" s="50" t="str">
        <f>_xlfn.XLOOKUP(A31,tbl_employee[employee_id],tbl_employee[department])</f>
        <v>Customer Support</v>
      </c>
      <c r="E31" s="50" t="str">
        <f>_xlfn.XLOOKUP(A31,tbl_employee[employee_id],tbl_employee[gender])</f>
        <v>Female</v>
      </c>
      <c r="F31" s="50">
        <f>_xlfn.XLOOKUP(A31,tbl_employee[employee_id],tbl_employee[age])</f>
        <v>31</v>
      </c>
      <c r="G31" s="50" t="str" cm="1">
        <f t="array" ref="G3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31" s="51">
        <f>AVERAGEIF(tbl_performance[employee_id],A31,tbl_performance[performance_pct])</f>
        <v>0.96687191382483606</v>
      </c>
      <c r="I31" s="50">
        <f>COUNTIF(tbl_performance[employee_id],A31)</f>
        <v>12</v>
      </c>
      <c r="J31" s="50" t="str" cm="1">
        <f t="array" ref="J31">_xlfn.IFS(H31 &gt;= 1.1,"Excellent", H31&gt;=1,"Good",H31&gt;=0.85,"Average",TRUE,"Poor")</f>
        <v>Average</v>
      </c>
      <c r="K31" s="50">
        <f>_xlfn.RANK.EQ(tbl_employee_summary[[#This Row],[avg_performance_pct]], tbl_employee_summary[avg_performance_pct], 0)</f>
        <v>52</v>
      </c>
    </row>
    <row r="32" spans="1:11" ht="19.8" x14ac:dyDescent="0.65">
      <c r="A32" s="45" t="s">
        <v>93</v>
      </c>
      <c r="B32" s="50" t="str">
        <f>_xlfn.XLOOKUP(A32,tbl_employee[employee_id],tbl_employee[name])</f>
        <v>Pooja Joseph</v>
      </c>
      <c r="C32" s="50" t="str">
        <f>_xlfn.XLOOKUP(A32,tbl_employee[employee_id],tbl_employee[role])</f>
        <v>Senior Support Associate</v>
      </c>
      <c r="D32" s="50" t="str">
        <f>_xlfn.XLOOKUP(A32,tbl_employee[employee_id],tbl_employee[department])</f>
        <v>Customer Support</v>
      </c>
      <c r="E32" s="50" t="str">
        <f>_xlfn.XLOOKUP(A32,tbl_employee[employee_id],tbl_employee[gender])</f>
        <v>Female</v>
      </c>
      <c r="F32" s="50">
        <f>_xlfn.XLOOKUP(A32,tbl_employee[employee_id],tbl_employee[age])</f>
        <v>29</v>
      </c>
      <c r="G32" s="50" t="str" cm="1">
        <f t="array" ref="G3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32" s="51">
        <f>AVERAGEIF(tbl_performance[employee_id],A32,tbl_performance[performance_pct])</f>
        <v>0.95586469905154281</v>
      </c>
      <c r="I32" s="50">
        <f>COUNTIF(tbl_performance[employee_id],A32)</f>
        <v>12</v>
      </c>
      <c r="J32" s="50" t="str" cm="1">
        <f t="array" ref="J32">_xlfn.IFS(H32 &gt;= 1.1,"Excellent", H32&gt;=1,"Good",H32&gt;=0.85,"Average",TRUE,"Poor")</f>
        <v>Average</v>
      </c>
      <c r="K32" s="50">
        <f>_xlfn.RANK.EQ(tbl_employee_summary[[#This Row],[avg_performance_pct]], tbl_employee_summary[avg_performance_pct], 0)</f>
        <v>58</v>
      </c>
    </row>
    <row r="33" spans="1:11" ht="19.8" x14ac:dyDescent="0.65">
      <c r="A33" s="45" t="s">
        <v>95</v>
      </c>
      <c r="B33" s="50" t="str">
        <f>_xlfn.XLOOKUP(A33,tbl_employee[employee_id],tbl_employee[name])</f>
        <v>Lisa Gupta</v>
      </c>
      <c r="C33" s="50" t="str">
        <f>_xlfn.XLOOKUP(A33,tbl_employee[employee_id],tbl_employee[role])</f>
        <v>QA Engineer</v>
      </c>
      <c r="D33" s="50" t="str">
        <f>_xlfn.XLOOKUP(A33,tbl_employee[employee_id],tbl_employee[department])</f>
        <v>Engineering</v>
      </c>
      <c r="E33" s="50" t="str">
        <f>_xlfn.XLOOKUP(A33,tbl_employee[employee_id],tbl_employee[gender])</f>
        <v>Female</v>
      </c>
      <c r="F33" s="50">
        <f>_xlfn.XLOOKUP(A33,tbl_employee[employee_id],tbl_employee[age])</f>
        <v>26</v>
      </c>
      <c r="G33" s="50" t="str" cm="1">
        <f t="array" ref="G3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33" s="51">
        <f>AVERAGEIF(tbl_performance[employee_id],A33,tbl_performance[performance_pct])</f>
        <v>1.008854588527264</v>
      </c>
      <c r="I33" s="50">
        <f>COUNTIF(tbl_performance[employee_id],A33)</f>
        <v>12</v>
      </c>
      <c r="J33" s="50" t="str" cm="1">
        <f t="array" ref="J33">_xlfn.IFS(H33 &gt;= 1.1,"Excellent", H33&gt;=1,"Good",H33&gt;=0.85,"Average",TRUE,"Poor")</f>
        <v>Good</v>
      </c>
      <c r="K33" s="50">
        <f>_xlfn.RANK.EQ(tbl_employee_summary[[#This Row],[avg_performance_pct]], tbl_employee_summary[avg_performance_pct], 0)</f>
        <v>37</v>
      </c>
    </row>
    <row r="34" spans="1:11" ht="19.8" x14ac:dyDescent="0.65">
      <c r="A34" s="45" t="s">
        <v>98</v>
      </c>
      <c r="B34" s="50" t="str">
        <f>_xlfn.XLOOKUP(A34,tbl_employee[employee_id],tbl_employee[name])</f>
        <v>David Singh</v>
      </c>
      <c r="C34" s="50" t="str">
        <f>_xlfn.XLOOKUP(A34,tbl_employee[employee_id],tbl_employee[role])</f>
        <v>Senior Software Engineer</v>
      </c>
      <c r="D34" s="50" t="str">
        <f>_xlfn.XLOOKUP(A34,tbl_employee[employee_id],tbl_employee[department])</f>
        <v>Engineering</v>
      </c>
      <c r="E34" s="50" t="str">
        <f>_xlfn.XLOOKUP(A34,tbl_employee[employee_id],tbl_employee[gender])</f>
        <v>Male</v>
      </c>
      <c r="F34" s="50">
        <f>_xlfn.XLOOKUP(A34,tbl_employee[employee_id],tbl_employee[age])</f>
        <v>33</v>
      </c>
      <c r="G34" s="50" t="str" cm="1">
        <f t="array" ref="G34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34" s="51">
        <f>AVERAGEIF(tbl_performance[employee_id],A34,tbl_performance[performance_pct])</f>
        <v>1.0094221103641392</v>
      </c>
      <c r="I34" s="50">
        <f>COUNTIF(tbl_performance[employee_id],A34)</f>
        <v>12</v>
      </c>
      <c r="J34" s="50" t="str" cm="1">
        <f t="array" ref="J34">_xlfn.IFS(H34 &gt;= 1.1,"Excellent", H34&gt;=1,"Good",H34&gt;=0.85,"Average",TRUE,"Poor")</f>
        <v>Good</v>
      </c>
      <c r="K34" s="50">
        <f>_xlfn.RANK.EQ(tbl_employee_summary[[#This Row],[avg_performance_pct]], tbl_employee_summary[avg_performance_pct], 0)</f>
        <v>36</v>
      </c>
    </row>
    <row r="35" spans="1:11" ht="19.8" x14ac:dyDescent="0.65">
      <c r="A35" s="45" t="s">
        <v>100</v>
      </c>
      <c r="B35" s="50" t="str">
        <f>_xlfn.XLOOKUP(A35,tbl_employee[employee_id],tbl_employee[name])</f>
        <v>Noor Hussain</v>
      </c>
      <c r="C35" s="50" t="str">
        <f>_xlfn.XLOOKUP(A35,tbl_employee[employee_id],tbl_employee[role])</f>
        <v>Engineering Manager</v>
      </c>
      <c r="D35" s="50" t="str">
        <f>_xlfn.XLOOKUP(A35,tbl_employee[employee_id],tbl_employee[department])</f>
        <v>Engineering</v>
      </c>
      <c r="E35" s="50" t="str">
        <f>_xlfn.XLOOKUP(A35,tbl_employee[employee_id],tbl_employee[gender])</f>
        <v>Female</v>
      </c>
      <c r="F35" s="50">
        <f>_xlfn.XLOOKUP(A35,tbl_employee[employee_id],tbl_employee[age])</f>
        <v>38</v>
      </c>
      <c r="G35" s="50" t="str" cm="1">
        <f t="array" ref="G3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35" s="51">
        <f>AVERAGEIF(tbl_performance[employee_id],A35,tbl_performance[performance_pct])</f>
        <v>1.0573676073134541</v>
      </c>
      <c r="I35" s="50">
        <f>COUNTIF(tbl_performance[employee_id],A35)</f>
        <v>12</v>
      </c>
      <c r="J35" s="50" t="str" cm="1">
        <f t="array" ref="J35">_xlfn.IFS(H35 &gt;= 1.1,"Excellent", H35&gt;=1,"Good",H35&gt;=0.85,"Average",TRUE,"Poor")</f>
        <v>Good</v>
      </c>
      <c r="K35" s="50">
        <f>_xlfn.RANK.EQ(tbl_employee_summary[[#This Row],[avg_performance_pct]], tbl_employee_summary[avg_performance_pct], 0)</f>
        <v>19</v>
      </c>
    </row>
    <row r="36" spans="1:11" ht="19.8" x14ac:dyDescent="0.65">
      <c r="A36" s="45" t="s">
        <v>103</v>
      </c>
      <c r="B36" s="50" t="str">
        <f>_xlfn.XLOOKUP(A36,tbl_employee[employee_id],tbl_employee[name])</f>
        <v>John Gupta</v>
      </c>
      <c r="C36" s="50" t="str">
        <f>_xlfn.XLOOKUP(A36,tbl_employee[employee_id],tbl_employee[role])</f>
        <v>Support Associate</v>
      </c>
      <c r="D36" s="50" t="str">
        <f>_xlfn.XLOOKUP(A36,tbl_employee[employee_id],tbl_employee[department])</f>
        <v>Customer Support</v>
      </c>
      <c r="E36" s="50" t="str">
        <f>_xlfn.XLOOKUP(A36,tbl_employee[employee_id],tbl_employee[gender])</f>
        <v>Male</v>
      </c>
      <c r="F36" s="50">
        <f>_xlfn.XLOOKUP(A36,tbl_employee[employee_id],tbl_employee[age])</f>
        <v>24</v>
      </c>
      <c r="G36" s="50" t="str" cm="1">
        <f t="array" ref="G3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36" s="51">
        <f>AVERAGEIF(tbl_performance[employee_id],A36,tbl_performance[performance_pct])</f>
        <v>0.70884025123796945</v>
      </c>
      <c r="I36" s="50">
        <f>COUNTIF(tbl_performance[employee_id],A36)</f>
        <v>12</v>
      </c>
      <c r="J36" s="50" t="str" cm="1">
        <f t="array" ref="J36">_xlfn.IFS(H36 &gt;= 1.1,"Excellent", H36&gt;=1,"Good",H36&gt;=0.85,"Average",TRUE,"Poor")</f>
        <v>Poor</v>
      </c>
      <c r="K36" s="50">
        <f>_xlfn.RANK.EQ(tbl_employee_summary[[#This Row],[avg_performance_pct]], tbl_employee_summary[avg_performance_pct], 0)</f>
        <v>98</v>
      </c>
    </row>
    <row r="37" spans="1:11" ht="19.8" x14ac:dyDescent="0.65">
      <c r="A37" s="45" t="s">
        <v>105</v>
      </c>
      <c r="B37" s="50" t="str">
        <f>_xlfn.XLOOKUP(A37,tbl_employee[employee_id],tbl_employee[name])</f>
        <v>Lisa Abdullah</v>
      </c>
      <c r="C37" s="50" t="str">
        <f>_xlfn.XLOOKUP(A37,tbl_employee[employee_id],tbl_employee[role])</f>
        <v>Accountant</v>
      </c>
      <c r="D37" s="50" t="str">
        <f>_xlfn.XLOOKUP(A37,tbl_employee[employee_id],tbl_employee[department])</f>
        <v>Finance</v>
      </c>
      <c r="E37" s="50" t="str">
        <f>_xlfn.XLOOKUP(A37,tbl_employee[employee_id],tbl_employee[gender])</f>
        <v>Female</v>
      </c>
      <c r="F37" s="50">
        <f>_xlfn.XLOOKUP(A37,tbl_employee[employee_id],tbl_employee[age])</f>
        <v>25</v>
      </c>
      <c r="G37" s="50" t="str" cm="1">
        <f t="array" ref="G3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37" s="51">
        <f>AVERAGEIF(tbl_performance[employee_id],A37,tbl_performance[performance_pct])</f>
        <v>1.0272519242770959</v>
      </c>
      <c r="I37" s="50">
        <f>COUNTIF(tbl_performance[employee_id],A37)</f>
        <v>3</v>
      </c>
      <c r="J37" s="50" t="str" cm="1">
        <f t="array" ref="J37">_xlfn.IFS(H37 &gt;= 1.1,"Excellent", H37&gt;=1,"Good",H37&gt;=0.85,"Average",TRUE,"Poor")</f>
        <v>Good</v>
      </c>
      <c r="K37" s="50">
        <f>_xlfn.RANK.EQ(tbl_employee_summary[[#This Row],[avg_performance_pct]], tbl_employee_summary[avg_performance_pct], 0)</f>
        <v>30</v>
      </c>
    </row>
    <row r="38" spans="1:11" ht="19.8" x14ac:dyDescent="0.65">
      <c r="A38" s="45" t="s">
        <v>107</v>
      </c>
      <c r="B38" s="50" t="str">
        <f>_xlfn.XLOOKUP(A38,tbl_employee[employee_id],tbl_employee[name])</f>
        <v>Salma Patel</v>
      </c>
      <c r="C38" s="50" t="str">
        <f>_xlfn.XLOOKUP(A38,tbl_employee[employee_id],tbl_employee[role])</f>
        <v>Software Engineer</v>
      </c>
      <c r="D38" s="50" t="str">
        <f>_xlfn.XLOOKUP(A38,tbl_employee[employee_id],tbl_employee[department])</f>
        <v>Engineering</v>
      </c>
      <c r="E38" s="50" t="str">
        <f>_xlfn.XLOOKUP(A38,tbl_employee[employee_id],tbl_employee[gender])</f>
        <v>Female</v>
      </c>
      <c r="F38" s="50">
        <f>_xlfn.XLOOKUP(A38,tbl_employee[employee_id],tbl_employee[age])</f>
        <v>22</v>
      </c>
      <c r="G38" s="50" t="str" cm="1">
        <f t="array" ref="G38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38" s="51">
        <f>AVERAGEIF(tbl_performance[employee_id],A38,tbl_performance[performance_pct])</f>
        <v>1.0361494252873564</v>
      </c>
      <c r="I38" s="50">
        <f>COUNTIF(tbl_performance[employee_id],A38)</f>
        <v>4</v>
      </c>
      <c r="J38" s="50" t="str" cm="1">
        <f t="array" ref="J38">_xlfn.IFS(H38 &gt;= 1.1,"Excellent", H38&gt;=1,"Good",H38&gt;=0.85,"Average",TRUE,"Poor")</f>
        <v>Good</v>
      </c>
      <c r="K38" s="50">
        <f>_xlfn.RANK.EQ(tbl_employee_summary[[#This Row],[avg_performance_pct]], tbl_employee_summary[avg_performance_pct], 0)</f>
        <v>25</v>
      </c>
    </row>
    <row r="39" spans="1:11" ht="19.8" x14ac:dyDescent="0.65">
      <c r="A39" s="45" t="s">
        <v>109</v>
      </c>
      <c r="B39" s="50" t="str">
        <f>_xlfn.XLOOKUP(A39,tbl_employee[employee_id],tbl_employee[name])</f>
        <v>Andrew Brown</v>
      </c>
      <c r="C39" s="50" t="str">
        <f>_xlfn.XLOOKUP(A39,tbl_employee[employee_id],tbl_employee[role])</f>
        <v>Senior Sales Executive</v>
      </c>
      <c r="D39" s="50" t="str">
        <f>_xlfn.XLOOKUP(A39,tbl_employee[employee_id],tbl_employee[department])</f>
        <v>Sales</v>
      </c>
      <c r="E39" s="50" t="str">
        <f>_xlfn.XLOOKUP(A39,tbl_employee[employee_id],tbl_employee[gender])</f>
        <v>Male</v>
      </c>
      <c r="F39" s="50">
        <f>_xlfn.XLOOKUP(A39,tbl_employee[employee_id],tbl_employee[age])</f>
        <v>34</v>
      </c>
      <c r="G39" s="50" t="str" cm="1">
        <f t="array" ref="G39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39" s="51">
        <f>AVERAGEIF(tbl_performance[employee_id],A39,tbl_performance[performance_pct])</f>
        <v>0.93979446847831205</v>
      </c>
      <c r="I39" s="50">
        <f>COUNTIF(tbl_performance[employee_id],A39)</f>
        <v>12</v>
      </c>
      <c r="J39" s="50" t="str" cm="1">
        <f t="array" ref="J39">_xlfn.IFS(H39 &gt;= 1.1,"Excellent", H39&gt;=1,"Good",H39&gt;=0.85,"Average",TRUE,"Poor")</f>
        <v>Average</v>
      </c>
      <c r="K39" s="50">
        <f>_xlfn.RANK.EQ(tbl_employee_summary[[#This Row],[avg_performance_pct]], tbl_employee_summary[avg_performance_pct], 0)</f>
        <v>62</v>
      </c>
    </row>
    <row r="40" spans="1:11" ht="19.8" x14ac:dyDescent="0.65">
      <c r="A40" s="45" t="s">
        <v>112</v>
      </c>
      <c r="B40" s="50" t="str">
        <f>_xlfn.XLOOKUP(A40,tbl_employee[employee_id],tbl_employee[name])</f>
        <v>Faisal Hussain</v>
      </c>
      <c r="C40" s="50" t="str">
        <f>_xlfn.XLOOKUP(A40,tbl_employee[employee_id],tbl_employee[role])</f>
        <v>Marketing Executive</v>
      </c>
      <c r="D40" s="50" t="str">
        <f>_xlfn.XLOOKUP(A40,tbl_employee[employee_id],tbl_employee[department])</f>
        <v>Marketing</v>
      </c>
      <c r="E40" s="50" t="str">
        <f>_xlfn.XLOOKUP(A40,tbl_employee[employee_id],tbl_employee[gender])</f>
        <v>Male</v>
      </c>
      <c r="F40" s="50">
        <f>_xlfn.XLOOKUP(A40,tbl_employee[employee_id],tbl_employee[age])</f>
        <v>33</v>
      </c>
      <c r="G40" s="50" t="str" cm="1">
        <f t="array" ref="G40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0" s="51">
        <f>AVERAGEIF(tbl_performance[employee_id],A40,tbl_performance[performance_pct])</f>
        <v>1.0036916520571155</v>
      </c>
      <c r="I40" s="50">
        <f>COUNTIF(tbl_performance[employee_id],A40)</f>
        <v>12</v>
      </c>
      <c r="J40" s="50" t="str" cm="1">
        <f t="array" ref="J40">_xlfn.IFS(H40 &gt;= 1.1,"Excellent", H40&gt;=1,"Good",H40&gt;=0.85,"Average",TRUE,"Poor")</f>
        <v>Good</v>
      </c>
      <c r="K40" s="50">
        <f>_xlfn.RANK.EQ(tbl_employee_summary[[#This Row],[avg_performance_pct]], tbl_employee_summary[avg_performance_pct], 0)</f>
        <v>40</v>
      </c>
    </row>
    <row r="41" spans="1:11" ht="19.8" x14ac:dyDescent="0.65">
      <c r="A41" s="45" t="s">
        <v>114</v>
      </c>
      <c r="B41" s="50" t="str">
        <f>_xlfn.XLOOKUP(A41,tbl_employee[employee_id],tbl_employee[name])</f>
        <v>Lisa Mathew</v>
      </c>
      <c r="C41" s="50" t="str">
        <f>_xlfn.XLOOKUP(A41,tbl_employee[employee_id],tbl_employee[role])</f>
        <v>Operations Associate</v>
      </c>
      <c r="D41" s="50" t="str">
        <f>_xlfn.XLOOKUP(A41,tbl_employee[employee_id],tbl_employee[department])</f>
        <v>Operations</v>
      </c>
      <c r="E41" s="50" t="str">
        <f>_xlfn.XLOOKUP(A41,tbl_employee[employee_id],tbl_employee[gender])</f>
        <v>Female</v>
      </c>
      <c r="F41" s="50">
        <f>_xlfn.XLOOKUP(A41,tbl_employee[employee_id],tbl_employee[age])</f>
        <v>33</v>
      </c>
      <c r="G41" s="50" t="str" cm="1">
        <f t="array" ref="G4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1" s="51">
        <f>AVERAGEIF(tbl_performance[employee_id],A41,tbl_performance[performance_pct])</f>
        <v>0.86054573185514449</v>
      </c>
      <c r="I41" s="50">
        <f>COUNTIF(tbl_performance[employee_id],A41)</f>
        <v>12</v>
      </c>
      <c r="J41" s="50" t="str" cm="1">
        <f t="array" ref="J41">_xlfn.IFS(H41 &gt;= 1.1,"Excellent", H41&gt;=1,"Good",H41&gt;=0.85,"Average",TRUE,"Poor")</f>
        <v>Average</v>
      </c>
      <c r="K41" s="50">
        <f>_xlfn.RANK.EQ(tbl_employee_summary[[#This Row],[avg_performance_pct]], tbl_employee_summary[avg_performance_pct], 0)</f>
        <v>77</v>
      </c>
    </row>
    <row r="42" spans="1:11" ht="19.8" x14ac:dyDescent="0.65">
      <c r="A42" s="45" t="s">
        <v>116</v>
      </c>
      <c r="B42" s="50" t="str">
        <f>_xlfn.XLOOKUP(A42,tbl_employee[employee_id],tbl_employee[name])</f>
        <v>Sophia Singh</v>
      </c>
      <c r="C42" s="50" t="str">
        <f>_xlfn.XLOOKUP(A42,tbl_employee[employee_id],tbl_employee[role])</f>
        <v>Operations Analyst</v>
      </c>
      <c r="D42" s="50" t="str">
        <f>_xlfn.XLOOKUP(A42,tbl_employee[employee_id],tbl_employee[department])</f>
        <v>Operations</v>
      </c>
      <c r="E42" s="50" t="str">
        <f>_xlfn.XLOOKUP(A42,tbl_employee[employee_id],tbl_employee[gender])</f>
        <v>Female</v>
      </c>
      <c r="F42" s="50">
        <f>_xlfn.XLOOKUP(A42,tbl_employee[employee_id],tbl_employee[age])</f>
        <v>25</v>
      </c>
      <c r="G42" s="50" t="str" cm="1">
        <f t="array" ref="G4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42" s="51">
        <f>AVERAGEIF(tbl_performance[employee_id],A42,tbl_performance[performance_pct])</f>
        <v>0.84461702970655173</v>
      </c>
      <c r="I42" s="50">
        <f>COUNTIF(tbl_performance[employee_id],A42)</f>
        <v>12</v>
      </c>
      <c r="J42" s="50" t="str" cm="1">
        <f t="array" ref="J42">_xlfn.IFS(H42 &gt;= 1.1,"Excellent", H42&gt;=1,"Good",H42&gt;=0.85,"Average",TRUE,"Poor")</f>
        <v>Poor</v>
      </c>
      <c r="K42" s="50">
        <f>_xlfn.RANK.EQ(tbl_employee_summary[[#This Row],[avg_performance_pct]], tbl_employee_summary[avg_performance_pct], 0)</f>
        <v>82</v>
      </c>
    </row>
    <row r="43" spans="1:11" ht="19.8" x14ac:dyDescent="0.65">
      <c r="A43" s="45" t="s">
        <v>118</v>
      </c>
      <c r="B43" s="50" t="str">
        <f>_xlfn.XLOOKUP(A43,tbl_employee[employee_id],tbl_employee[name])</f>
        <v>Daniel Farooq</v>
      </c>
      <c r="C43" s="50" t="str">
        <f>_xlfn.XLOOKUP(A43,tbl_employee[employee_id],tbl_employee[role])</f>
        <v>Senior Sales Executive</v>
      </c>
      <c r="D43" s="50" t="str">
        <f>_xlfn.XLOOKUP(A43,tbl_employee[employee_id],tbl_employee[department])</f>
        <v>Sales</v>
      </c>
      <c r="E43" s="50" t="str">
        <f>_xlfn.XLOOKUP(A43,tbl_employee[employee_id],tbl_employee[gender])</f>
        <v>Male</v>
      </c>
      <c r="F43" s="50">
        <f>_xlfn.XLOOKUP(A43,tbl_employee[employee_id],tbl_employee[age])</f>
        <v>25</v>
      </c>
      <c r="G43" s="50" t="str" cm="1">
        <f t="array" ref="G4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43" s="51">
        <f>AVERAGEIF(tbl_performance[employee_id],A43,tbl_performance[performance_pct])</f>
        <v>0.98874649317956742</v>
      </c>
      <c r="I43" s="50">
        <f>COUNTIF(tbl_performance[employee_id],A43)</f>
        <v>12</v>
      </c>
      <c r="J43" s="50" t="str" cm="1">
        <f t="array" ref="J43">_xlfn.IFS(H43 &gt;= 1.1,"Excellent", H43&gt;=1,"Good",H43&gt;=0.85,"Average",TRUE,"Poor")</f>
        <v>Average</v>
      </c>
      <c r="K43" s="50">
        <f>_xlfn.RANK.EQ(tbl_employee_summary[[#This Row],[avg_performance_pct]], tbl_employee_summary[avg_performance_pct], 0)</f>
        <v>45</v>
      </c>
    </row>
    <row r="44" spans="1:11" ht="19.8" x14ac:dyDescent="0.65">
      <c r="A44" s="45" t="s">
        <v>120</v>
      </c>
      <c r="B44" s="50" t="str">
        <f>_xlfn.XLOOKUP(A44,tbl_employee[employee_id],tbl_employee[name])</f>
        <v>Lisa Reddy</v>
      </c>
      <c r="C44" s="50" t="str">
        <f>_xlfn.XLOOKUP(A44,tbl_employee[employee_id],tbl_employee[role])</f>
        <v>Operations Associate</v>
      </c>
      <c r="D44" s="50" t="str">
        <f>_xlfn.XLOOKUP(A44,tbl_employee[employee_id],tbl_employee[department])</f>
        <v>Operations</v>
      </c>
      <c r="E44" s="50" t="str">
        <f>_xlfn.XLOOKUP(A44,tbl_employee[employee_id],tbl_employee[gender])</f>
        <v>Female</v>
      </c>
      <c r="F44" s="50">
        <f>_xlfn.XLOOKUP(A44,tbl_employee[employee_id],tbl_employee[age])</f>
        <v>30</v>
      </c>
      <c r="G44" s="50" t="str" cm="1">
        <f t="array" ref="G44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4" s="51">
        <f>AVERAGEIF(tbl_performance[employee_id],A44,tbl_performance[performance_pct])</f>
        <v>0.93874696015828007</v>
      </c>
      <c r="I44" s="50">
        <f>COUNTIF(tbl_performance[employee_id],A44)</f>
        <v>3</v>
      </c>
      <c r="J44" s="50" t="str" cm="1">
        <f t="array" ref="J44">_xlfn.IFS(H44 &gt;= 1.1,"Excellent", H44&gt;=1,"Good",H44&gt;=0.85,"Average",TRUE,"Poor")</f>
        <v>Average</v>
      </c>
      <c r="K44" s="50">
        <f>_xlfn.RANK.EQ(tbl_employee_summary[[#This Row],[avg_performance_pct]], tbl_employee_summary[avg_performance_pct], 0)</f>
        <v>63</v>
      </c>
    </row>
    <row r="45" spans="1:11" ht="19.8" x14ac:dyDescent="0.65">
      <c r="A45" s="45" t="s">
        <v>122</v>
      </c>
      <c r="B45" s="50" t="str">
        <f>_xlfn.XLOOKUP(A45,tbl_employee[employee_id],tbl_employee[name])</f>
        <v>Mark Thomas</v>
      </c>
      <c r="C45" s="50" t="str">
        <f>_xlfn.XLOOKUP(A45,tbl_employee[employee_id],tbl_employee[role])</f>
        <v>Senior Software Engineer</v>
      </c>
      <c r="D45" s="50" t="str">
        <f>_xlfn.XLOOKUP(A45,tbl_employee[employee_id],tbl_employee[department])</f>
        <v>Engineering</v>
      </c>
      <c r="E45" s="50" t="str">
        <f>_xlfn.XLOOKUP(A45,tbl_employee[employee_id],tbl_employee[gender])</f>
        <v>Male</v>
      </c>
      <c r="F45" s="50">
        <f>_xlfn.XLOOKUP(A45,tbl_employee[employee_id],tbl_employee[age])</f>
        <v>36</v>
      </c>
      <c r="G45" s="50" t="str" cm="1">
        <f t="array" ref="G4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5" s="51">
        <f>AVERAGEIF(tbl_performance[employee_id],A45,tbl_performance[performance_pct])</f>
        <v>1.0497711132519223</v>
      </c>
      <c r="I45" s="50">
        <f>COUNTIF(tbl_performance[employee_id],A45)</f>
        <v>9</v>
      </c>
      <c r="J45" s="50" t="str" cm="1">
        <f t="array" ref="J45">_xlfn.IFS(H45 &gt;= 1.1,"Excellent", H45&gt;=1,"Good",H45&gt;=0.85,"Average",TRUE,"Poor")</f>
        <v>Good</v>
      </c>
      <c r="K45" s="50">
        <f>_xlfn.RANK.EQ(tbl_employee_summary[[#This Row],[avg_performance_pct]], tbl_employee_summary[avg_performance_pct], 0)</f>
        <v>23</v>
      </c>
    </row>
    <row r="46" spans="1:11" ht="19.8" x14ac:dyDescent="0.65">
      <c r="A46" s="45" t="s">
        <v>124</v>
      </c>
      <c r="B46" s="50" t="str">
        <f>_xlfn.XLOOKUP(A46,tbl_employee[employee_id],tbl_employee[name])</f>
        <v>Steven Gupta</v>
      </c>
      <c r="C46" s="50" t="str">
        <f>_xlfn.XLOOKUP(A46,tbl_employee[employee_id],tbl_employee[role])</f>
        <v>Sales Manager</v>
      </c>
      <c r="D46" s="50" t="str">
        <f>_xlfn.XLOOKUP(A46,tbl_employee[employee_id],tbl_employee[department])</f>
        <v>Sales</v>
      </c>
      <c r="E46" s="50" t="str">
        <f>_xlfn.XLOOKUP(A46,tbl_employee[employee_id],tbl_employee[gender])</f>
        <v>Male</v>
      </c>
      <c r="F46" s="50">
        <f>_xlfn.XLOOKUP(A46,tbl_employee[employee_id],tbl_employee[age])</f>
        <v>39</v>
      </c>
      <c r="G46" s="50" t="str" cm="1">
        <f t="array" ref="G46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6" s="51">
        <f>AVERAGEIF(tbl_performance[employee_id],A46,tbl_performance[performance_pct])</f>
        <v>0.82858488115906803</v>
      </c>
      <c r="I46" s="50">
        <f>COUNTIF(tbl_performance[employee_id],A46)</f>
        <v>12</v>
      </c>
      <c r="J46" s="50" t="str" cm="1">
        <f t="array" ref="J46">_xlfn.IFS(H46 &gt;= 1.1,"Excellent", H46&gt;=1,"Good",H46&gt;=0.85,"Average",TRUE,"Poor")</f>
        <v>Poor</v>
      </c>
      <c r="K46" s="50">
        <f>_xlfn.RANK.EQ(tbl_employee_summary[[#This Row],[avg_performance_pct]], tbl_employee_summary[avg_performance_pct], 0)</f>
        <v>86</v>
      </c>
    </row>
    <row r="47" spans="1:11" ht="19.8" x14ac:dyDescent="0.65">
      <c r="A47" s="45" t="s">
        <v>126</v>
      </c>
      <c r="B47" s="50" t="str">
        <f>_xlfn.XLOOKUP(A47,tbl_employee[employee_id],tbl_employee[name])</f>
        <v>Imran Gupta</v>
      </c>
      <c r="C47" s="50" t="str">
        <f>_xlfn.XLOOKUP(A47,tbl_employee[employee_id],tbl_employee[role])</f>
        <v>Financial Analyst</v>
      </c>
      <c r="D47" s="50" t="str">
        <f>_xlfn.XLOOKUP(A47,tbl_employee[employee_id],tbl_employee[department])</f>
        <v>Finance</v>
      </c>
      <c r="E47" s="50" t="str">
        <f>_xlfn.XLOOKUP(A47,tbl_employee[employee_id],tbl_employee[gender])</f>
        <v>Male</v>
      </c>
      <c r="F47" s="50">
        <f>_xlfn.XLOOKUP(A47,tbl_employee[employee_id],tbl_employee[age])</f>
        <v>29</v>
      </c>
      <c r="G47" s="50" t="str" cm="1">
        <f t="array" ref="G4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47" s="51">
        <f>AVERAGEIF(tbl_performance[employee_id],A47,tbl_performance[performance_pct])</f>
        <v>0.96455600850762135</v>
      </c>
      <c r="I47" s="50">
        <f>COUNTIF(tbl_performance[employee_id],A47)</f>
        <v>12</v>
      </c>
      <c r="J47" s="50" t="str" cm="1">
        <f t="array" ref="J47">_xlfn.IFS(H47 &gt;= 1.1,"Excellent", H47&gt;=1,"Good",H47&gt;=0.85,"Average",TRUE,"Poor")</f>
        <v>Average</v>
      </c>
      <c r="K47" s="50">
        <f>_xlfn.RANK.EQ(tbl_employee_summary[[#This Row],[avg_performance_pct]], tbl_employee_summary[avg_performance_pct], 0)</f>
        <v>54</v>
      </c>
    </row>
    <row r="48" spans="1:11" ht="19.8" x14ac:dyDescent="0.65">
      <c r="A48" s="45" t="s">
        <v>128</v>
      </c>
      <c r="B48" s="50" t="str">
        <f>_xlfn.XLOOKUP(A48,tbl_employee[employee_id],tbl_employee[name])</f>
        <v>Rajesh Singh</v>
      </c>
      <c r="C48" s="50" t="str">
        <f>_xlfn.XLOOKUP(A48,tbl_employee[employee_id],tbl_employee[role])</f>
        <v>Software Engineer</v>
      </c>
      <c r="D48" s="50" t="str">
        <f>_xlfn.XLOOKUP(A48,tbl_employee[employee_id],tbl_employee[department])</f>
        <v>Engineering</v>
      </c>
      <c r="E48" s="50" t="str">
        <f>_xlfn.XLOOKUP(A48,tbl_employee[employee_id],tbl_employee[gender])</f>
        <v>Male</v>
      </c>
      <c r="F48" s="50">
        <f>_xlfn.XLOOKUP(A48,tbl_employee[employee_id],tbl_employee[age])</f>
        <v>28</v>
      </c>
      <c r="G48" s="50" t="str" cm="1">
        <f t="array" ref="G48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48" s="51">
        <f>AVERAGEIF(tbl_performance[employee_id],A48,tbl_performance[performance_pct])</f>
        <v>1.0311868780709359</v>
      </c>
      <c r="I48" s="50">
        <f>COUNTIF(tbl_performance[employee_id],A48)</f>
        <v>12</v>
      </c>
      <c r="J48" s="50" t="str" cm="1">
        <f t="array" ref="J48">_xlfn.IFS(H48 &gt;= 1.1,"Excellent", H48&gt;=1,"Good",H48&gt;=0.85,"Average",TRUE,"Poor")</f>
        <v>Good</v>
      </c>
      <c r="K48" s="50">
        <f>_xlfn.RANK.EQ(tbl_employee_summary[[#This Row],[avg_performance_pct]], tbl_employee_summary[avg_performance_pct], 0)</f>
        <v>27</v>
      </c>
    </row>
    <row r="49" spans="1:11" ht="19.8" x14ac:dyDescent="0.65">
      <c r="A49" s="45" t="s">
        <v>130</v>
      </c>
      <c r="B49" s="50" t="str">
        <f>_xlfn.XLOOKUP(A49,tbl_employee[employee_id],tbl_employee[name])</f>
        <v>Salma Gupta</v>
      </c>
      <c r="C49" s="50" t="str">
        <f>_xlfn.XLOOKUP(A49,tbl_employee[employee_id],tbl_employee[role])</f>
        <v>Sales Executive</v>
      </c>
      <c r="D49" s="50" t="str">
        <f>_xlfn.XLOOKUP(A49,tbl_employee[employee_id],tbl_employee[department])</f>
        <v>Sales</v>
      </c>
      <c r="E49" s="50" t="str">
        <f>_xlfn.XLOOKUP(A49,tbl_employee[employee_id],tbl_employee[gender])</f>
        <v>Female</v>
      </c>
      <c r="F49" s="50">
        <f>_xlfn.XLOOKUP(A49,tbl_employee[employee_id],tbl_employee[age])</f>
        <v>30</v>
      </c>
      <c r="G49" s="50" t="str" cm="1">
        <f t="array" ref="G49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49" s="51">
        <f>AVERAGEIF(tbl_performance[employee_id],A49,tbl_performance[performance_pct])</f>
        <v>0.91107475410421268</v>
      </c>
      <c r="I49" s="50">
        <f>COUNTIF(tbl_performance[employee_id],A49)</f>
        <v>12</v>
      </c>
      <c r="J49" s="50" t="str" cm="1">
        <f t="array" ref="J49">_xlfn.IFS(H49 &gt;= 1.1,"Excellent", H49&gt;=1,"Good",H49&gt;=0.85,"Average",TRUE,"Poor")</f>
        <v>Average</v>
      </c>
      <c r="K49" s="50">
        <f>_xlfn.RANK.EQ(tbl_employee_summary[[#This Row],[avg_performance_pct]], tbl_employee_summary[avg_performance_pct], 0)</f>
        <v>68</v>
      </c>
    </row>
    <row r="50" spans="1:11" ht="19.8" x14ac:dyDescent="0.65">
      <c r="A50" s="45" t="s">
        <v>132</v>
      </c>
      <c r="B50" s="50" t="str">
        <f>_xlfn.XLOOKUP(A50,tbl_employee[employee_id],tbl_employee[name])</f>
        <v>Steven Verma</v>
      </c>
      <c r="C50" s="50" t="str">
        <f>_xlfn.XLOOKUP(A50,tbl_employee[employee_id],tbl_employee[role])</f>
        <v>Software Engineer</v>
      </c>
      <c r="D50" s="50" t="str">
        <f>_xlfn.XLOOKUP(A50,tbl_employee[employee_id],tbl_employee[department])</f>
        <v>Engineering</v>
      </c>
      <c r="E50" s="50" t="str">
        <f>_xlfn.XLOOKUP(A50,tbl_employee[employee_id],tbl_employee[gender])</f>
        <v>Male</v>
      </c>
      <c r="F50" s="50">
        <f>_xlfn.XLOOKUP(A50,tbl_employee[employee_id],tbl_employee[age])</f>
        <v>22</v>
      </c>
      <c r="G50" s="50" t="str" cm="1">
        <f t="array" ref="G50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0" s="51">
        <f>AVERAGEIF(tbl_performance[employee_id],A50,tbl_performance[performance_pct])</f>
        <v>1.0849737762237761</v>
      </c>
      <c r="I50" s="50">
        <f>COUNTIF(tbl_performance[employee_id],A50)</f>
        <v>12</v>
      </c>
      <c r="J50" s="50" t="str" cm="1">
        <f t="array" ref="J50">_xlfn.IFS(H50 &gt;= 1.1,"Excellent", H50&gt;=1,"Good",H50&gt;=0.85,"Average",TRUE,"Poor")</f>
        <v>Good</v>
      </c>
      <c r="K50" s="50">
        <f>_xlfn.RANK.EQ(tbl_employee_summary[[#This Row],[avg_performance_pct]], tbl_employee_summary[avg_performance_pct], 0)</f>
        <v>10</v>
      </c>
    </row>
    <row r="51" spans="1:11" ht="19.8" x14ac:dyDescent="0.65">
      <c r="A51" s="45" t="s">
        <v>134</v>
      </c>
      <c r="B51" s="50" t="str">
        <f>_xlfn.XLOOKUP(A51,tbl_employee[employee_id],tbl_employee[name])</f>
        <v>Sarah Sharma</v>
      </c>
      <c r="C51" s="50" t="str">
        <f>_xlfn.XLOOKUP(A51,tbl_employee[employee_id],tbl_employee[role])</f>
        <v>QA Engineer</v>
      </c>
      <c r="D51" s="50" t="str">
        <f>_xlfn.XLOOKUP(A51,tbl_employee[employee_id],tbl_employee[department])</f>
        <v>Engineering</v>
      </c>
      <c r="E51" s="50" t="str">
        <f>_xlfn.XLOOKUP(A51,tbl_employee[employee_id],tbl_employee[gender])</f>
        <v>Female</v>
      </c>
      <c r="F51" s="50">
        <f>_xlfn.XLOOKUP(A51,tbl_employee[employee_id],tbl_employee[age])</f>
        <v>26</v>
      </c>
      <c r="G51" s="50" t="str" cm="1">
        <f t="array" ref="G51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1" s="51">
        <f>AVERAGEIF(tbl_performance[employee_id],A51,tbl_performance[performance_pct])</f>
        <v>1.0718071519795658</v>
      </c>
      <c r="I51" s="50">
        <f>COUNTIF(tbl_performance[employee_id],A51)</f>
        <v>12</v>
      </c>
      <c r="J51" s="50" t="str" cm="1">
        <f t="array" ref="J51">_xlfn.IFS(H51 &gt;= 1.1,"Excellent", H51&gt;=1,"Good",H51&gt;=0.85,"Average",TRUE,"Poor")</f>
        <v>Good</v>
      </c>
      <c r="K51" s="50">
        <f>_xlfn.RANK.EQ(tbl_employee_summary[[#This Row],[avg_performance_pct]], tbl_employee_summary[avg_performance_pct], 0)</f>
        <v>14</v>
      </c>
    </row>
    <row r="52" spans="1:11" ht="19.8" x14ac:dyDescent="0.65">
      <c r="A52" s="45" t="s">
        <v>136</v>
      </c>
      <c r="B52" s="50" t="str">
        <f>_xlfn.XLOOKUP(A52,tbl_employee[employee_id],tbl_employee[name])</f>
        <v>Michael Hussain</v>
      </c>
      <c r="C52" s="50" t="str">
        <f>_xlfn.XLOOKUP(A52,tbl_employee[employee_id],tbl_employee[role])</f>
        <v>Operations Manager</v>
      </c>
      <c r="D52" s="50" t="str">
        <f>_xlfn.XLOOKUP(A52,tbl_employee[employee_id],tbl_employee[department])</f>
        <v>Operations</v>
      </c>
      <c r="E52" s="50" t="str">
        <f>_xlfn.XLOOKUP(A52,tbl_employee[employee_id],tbl_employee[gender])</f>
        <v>Male</v>
      </c>
      <c r="F52" s="50">
        <f>_xlfn.XLOOKUP(A52,tbl_employee[employee_id],tbl_employee[age])</f>
        <v>41</v>
      </c>
      <c r="G52" s="50" t="str" cm="1">
        <f t="array" ref="G52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52" s="51">
        <f>AVERAGEIF(tbl_performance[employee_id],A52,tbl_performance[performance_pct])</f>
        <v>0.83047318452617203</v>
      </c>
      <c r="I52" s="50">
        <f>COUNTIF(tbl_performance[employee_id],A52)</f>
        <v>3</v>
      </c>
      <c r="J52" s="50" t="str" cm="1">
        <f t="array" ref="J52">_xlfn.IFS(H52 &gt;= 1.1,"Excellent", H52&gt;=1,"Good",H52&gt;=0.85,"Average",TRUE,"Poor")</f>
        <v>Poor</v>
      </c>
      <c r="K52" s="50">
        <f>_xlfn.RANK.EQ(tbl_employee_summary[[#This Row],[avg_performance_pct]], tbl_employee_summary[avg_performance_pct], 0)</f>
        <v>85</v>
      </c>
    </row>
    <row r="53" spans="1:11" ht="19.8" x14ac:dyDescent="0.65">
      <c r="A53" s="45" t="s">
        <v>138</v>
      </c>
      <c r="B53" s="50" t="str">
        <f>_xlfn.XLOOKUP(A53,tbl_employee[employee_id],tbl_employee[name])</f>
        <v>Sana Ali</v>
      </c>
      <c r="C53" s="50" t="str">
        <f>_xlfn.XLOOKUP(A53,tbl_employee[employee_id],tbl_employee[role])</f>
        <v>Support Associate</v>
      </c>
      <c r="D53" s="50" t="str">
        <f>_xlfn.XLOOKUP(A53,tbl_employee[employee_id],tbl_employee[department])</f>
        <v>Customer Support</v>
      </c>
      <c r="E53" s="50" t="str">
        <f>_xlfn.XLOOKUP(A53,tbl_employee[employee_id],tbl_employee[gender])</f>
        <v>Female</v>
      </c>
      <c r="F53" s="50">
        <f>_xlfn.XLOOKUP(A53,tbl_employee[employee_id],tbl_employee[age])</f>
        <v>22</v>
      </c>
      <c r="G53" s="50" t="str" cm="1">
        <f t="array" ref="G5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3" s="51">
        <f>AVERAGEIF(tbl_performance[employee_id],A53,tbl_performance[performance_pct])</f>
        <v>0.68567094578828114</v>
      </c>
      <c r="I53" s="50">
        <f>COUNTIF(tbl_performance[employee_id],A53)</f>
        <v>11</v>
      </c>
      <c r="J53" s="50" t="str" cm="1">
        <f t="array" ref="J53">_xlfn.IFS(H53 &gt;= 1.1,"Excellent", H53&gt;=1,"Good",H53&gt;=0.85,"Average",TRUE,"Poor")</f>
        <v>Poor</v>
      </c>
      <c r="K53" s="50">
        <f>_xlfn.RANK.EQ(tbl_employee_summary[[#This Row],[avg_performance_pct]], tbl_employee_summary[avg_performance_pct], 0)</f>
        <v>100</v>
      </c>
    </row>
    <row r="54" spans="1:11" ht="19.8" x14ac:dyDescent="0.65">
      <c r="A54" s="45" t="s">
        <v>140</v>
      </c>
      <c r="B54" s="50" t="str">
        <f>_xlfn.XLOOKUP(A54,tbl_employee[employee_id],tbl_employee[name])</f>
        <v>Robert Brown</v>
      </c>
      <c r="C54" s="50" t="str">
        <f>_xlfn.XLOOKUP(A54,tbl_employee[employee_id],tbl_employee[role])</f>
        <v>Support Associate</v>
      </c>
      <c r="D54" s="50" t="str">
        <f>_xlfn.XLOOKUP(A54,tbl_employee[employee_id],tbl_employee[department])</f>
        <v>Customer Support</v>
      </c>
      <c r="E54" s="50" t="str">
        <f>_xlfn.XLOOKUP(A54,tbl_employee[employee_id],tbl_employee[gender])</f>
        <v>Male</v>
      </c>
      <c r="F54" s="50">
        <f>_xlfn.XLOOKUP(A54,tbl_employee[employee_id],tbl_employee[age])</f>
        <v>26</v>
      </c>
      <c r="G54" s="50" t="str" cm="1">
        <f t="array" ref="G5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4" s="51">
        <f>AVERAGEIF(tbl_performance[employee_id],A54,tbl_performance[performance_pct])</f>
        <v>0.85314066971165381</v>
      </c>
      <c r="I54" s="50">
        <f>COUNTIF(tbl_performance[employee_id],A54)</f>
        <v>12</v>
      </c>
      <c r="J54" s="50" t="str" cm="1">
        <f t="array" ref="J54">_xlfn.IFS(H54 &gt;= 1.1,"Excellent", H54&gt;=1,"Good",H54&gt;=0.85,"Average",TRUE,"Poor")</f>
        <v>Average</v>
      </c>
      <c r="K54" s="50">
        <f>_xlfn.RANK.EQ(tbl_employee_summary[[#This Row],[avg_performance_pct]], tbl_employee_summary[avg_performance_pct], 0)</f>
        <v>79</v>
      </c>
    </row>
    <row r="55" spans="1:11" ht="19.8" x14ac:dyDescent="0.65">
      <c r="A55" s="45" t="s">
        <v>142</v>
      </c>
      <c r="B55" s="50" t="str">
        <f>_xlfn.XLOOKUP(A55,tbl_employee[employee_id],tbl_employee[name])</f>
        <v>Steven Saeed</v>
      </c>
      <c r="C55" s="50" t="str">
        <f>_xlfn.XLOOKUP(A55,tbl_employee[employee_id],tbl_employee[role])</f>
        <v>Accountant</v>
      </c>
      <c r="D55" s="50" t="str">
        <f>_xlfn.XLOOKUP(A55,tbl_employee[employee_id],tbl_employee[department])</f>
        <v>Finance</v>
      </c>
      <c r="E55" s="50" t="str">
        <f>_xlfn.XLOOKUP(A55,tbl_employee[employee_id],tbl_employee[gender])</f>
        <v>Male</v>
      </c>
      <c r="F55" s="50">
        <f>_xlfn.XLOOKUP(A55,tbl_employee[employee_id],tbl_employee[age])</f>
        <v>26</v>
      </c>
      <c r="G55" s="50" t="str" cm="1">
        <f t="array" ref="G55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5" s="51">
        <f>AVERAGEIF(tbl_performance[employee_id],A55,tbl_performance[performance_pct])</f>
        <v>0.97842261904761907</v>
      </c>
      <c r="I55" s="50">
        <f>COUNTIF(tbl_performance[employee_id],A55)</f>
        <v>12</v>
      </c>
      <c r="J55" s="50" t="str" cm="1">
        <f t="array" ref="J55">_xlfn.IFS(H55 &gt;= 1.1,"Excellent", H55&gt;=1,"Good",H55&gt;=0.85,"Average",TRUE,"Poor")</f>
        <v>Average</v>
      </c>
      <c r="K55" s="50">
        <f>_xlfn.RANK.EQ(tbl_employee_summary[[#This Row],[avg_performance_pct]], tbl_employee_summary[avg_performance_pct], 0)</f>
        <v>47</v>
      </c>
    </row>
    <row r="56" spans="1:11" ht="19.8" x14ac:dyDescent="0.65">
      <c r="A56" s="45" t="s">
        <v>144</v>
      </c>
      <c r="B56" s="50" t="str">
        <f>_xlfn.XLOOKUP(A56,tbl_employee[employee_id],tbl_employee[name])</f>
        <v>Rachel Verma</v>
      </c>
      <c r="C56" s="50" t="str">
        <f>_xlfn.XLOOKUP(A56,tbl_employee[employee_id],tbl_employee[role])</f>
        <v>Senior Sales Executive</v>
      </c>
      <c r="D56" s="50" t="str">
        <f>_xlfn.XLOOKUP(A56,tbl_employee[employee_id],tbl_employee[department])</f>
        <v>Sales</v>
      </c>
      <c r="E56" s="50" t="str">
        <f>_xlfn.XLOOKUP(A56,tbl_employee[employee_id],tbl_employee[gender])</f>
        <v>Female</v>
      </c>
      <c r="F56" s="50">
        <f>_xlfn.XLOOKUP(A56,tbl_employee[employee_id],tbl_employee[age])</f>
        <v>29</v>
      </c>
      <c r="G56" s="50" t="str" cm="1">
        <f t="array" ref="G5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6" s="51">
        <f>AVERAGEIF(tbl_performance[employee_id],A56,tbl_performance[performance_pct])</f>
        <v>0.95684724713792679</v>
      </c>
      <c r="I56" s="50">
        <f>COUNTIF(tbl_performance[employee_id],A56)</f>
        <v>12</v>
      </c>
      <c r="J56" s="50" t="str" cm="1">
        <f t="array" ref="J56">_xlfn.IFS(H56 &gt;= 1.1,"Excellent", H56&gt;=1,"Good",H56&gt;=0.85,"Average",TRUE,"Poor")</f>
        <v>Average</v>
      </c>
      <c r="K56" s="50">
        <f>_xlfn.RANK.EQ(tbl_employee_summary[[#This Row],[avg_performance_pct]], tbl_employee_summary[avg_performance_pct], 0)</f>
        <v>57</v>
      </c>
    </row>
    <row r="57" spans="1:11" ht="19.8" x14ac:dyDescent="0.65">
      <c r="A57" s="45" t="s">
        <v>146</v>
      </c>
      <c r="B57" s="50" t="str">
        <f>_xlfn.XLOOKUP(A57,tbl_employee[employee_id],tbl_employee[name])</f>
        <v>David Hussain</v>
      </c>
      <c r="C57" s="50" t="str">
        <f>_xlfn.XLOOKUP(A57,tbl_employee[employee_id],tbl_employee[role])</f>
        <v>Engineering Manager</v>
      </c>
      <c r="D57" s="50" t="str">
        <f>_xlfn.XLOOKUP(A57,tbl_employee[employee_id],tbl_employee[department])</f>
        <v>Engineering</v>
      </c>
      <c r="E57" s="50" t="str">
        <f>_xlfn.XLOOKUP(A57,tbl_employee[employee_id],tbl_employee[gender])</f>
        <v>Male</v>
      </c>
      <c r="F57" s="50">
        <f>_xlfn.XLOOKUP(A57,tbl_employee[employee_id],tbl_employee[age])</f>
        <v>43</v>
      </c>
      <c r="G57" s="50" t="str" cm="1">
        <f t="array" ref="G57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57" s="51">
        <f>AVERAGEIF(tbl_performance[employee_id],A57,tbl_performance[performance_pct])</f>
        <v>1.1487458897929734</v>
      </c>
      <c r="I57" s="50">
        <f>COUNTIF(tbl_performance[employee_id],A57)</f>
        <v>12</v>
      </c>
      <c r="J57" s="50" t="str" cm="1">
        <f t="array" ref="J57">_xlfn.IFS(H57 &gt;= 1.1,"Excellent", H57&gt;=1,"Good",H57&gt;=0.85,"Average",TRUE,"Poor")</f>
        <v>Excellent</v>
      </c>
      <c r="K57" s="50">
        <f>_xlfn.RANK.EQ(tbl_employee_summary[[#This Row],[avg_performance_pct]], tbl_employee_summary[avg_performance_pct], 0)</f>
        <v>2</v>
      </c>
    </row>
    <row r="58" spans="1:11" ht="19.8" x14ac:dyDescent="0.65">
      <c r="A58" s="45" t="s">
        <v>148</v>
      </c>
      <c r="B58" s="50" t="str">
        <f>_xlfn.XLOOKUP(A58,tbl_employee[employee_id],tbl_employee[name])</f>
        <v>Huda Saeed</v>
      </c>
      <c r="C58" s="50" t="str">
        <f>_xlfn.XLOOKUP(A58,tbl_employee[employee_id],tbl_employee[role])</f>
        <v>HR Generalist</v>
      </c>
      <c r="D58" s="50" t="str">
        <f>_xlfn.XLOOKUP(A58,tbl_employee[employee_id],tbl_employee[department])</f>
        <v>HR</v>
      </c>
      <c r="E58" s="50" t="str">
        <f>_xlfn.XLOOKUP(A58,tbl_employee[employee_id],tbl_employee[gender])</f>
        <v>Female</v>
      </c>
      <c r="F58" s="50">
        <f>_xlfn.XLOOKUP(A58,tbl_employee[employee_id],tbl_employee[age])</f>
        <v>31</v>
      </c>
      <c r="G58" s="50" t="str" cm="1">
        <f t="array" ref="G5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58" s="51">
        <f>AVERAGEIF(tbl_performance[employee_id],A58,tbl_performance[performance_pct])</f>
        <v>1.0136982570806101</v>
      </c>
      <c r="I58" s="50">
        <f>COUNTIF(tbl_performance[employee_id],A58)</f>
        <v>12</v>
      </c>
      <c r="J58" s="50" t="str" cm="1">
        <f t="array" ref="J58">_xlfn.IFS(H58 &gt;= 1.1,"Excellent", H58&gt;=1,"Good",H58&gt;=0.85,"Average",TRUE,"Poor")</f>
        <v>Good</v>
      </c>
      <c r="K58" s="50">
        <f>_xlfn.RANK.EQ(tbl_employee_summary[[#This Row],[avg_performance_pct]], tbl_employee_summary[avg_performance_pct], 0)</f>
        <v>34</v>
      </c>
    </row>
    <row r="59" spans="1:11" ht="19.8" x14ac:dyDescent="0.65">
      <c r="A59" s="45" t="s">
        <v>150</v>
      </c>
      <c r="B59" s="50" t="str">
        <f>_xlfn.XLOOKUP(A59,tbl_employee[employee_id],tbl_employee[name])</f>
        <v>Priya Sharma</v>
      </c>
      <c r="C59" s="50" t="str">
        <f>_xlfn.XLOOKUP(A59,tbl_employee[employee_id],tbl_employee[role])</f>
        <v>Accountant</v>
      </c>
      <c r="D59" s="50" t="str">
        <f>_xlfn.XLOOKUP(A59,tbl_employee[employee_id],tbl_employee[department])</f>
        <v>Finance</v>
      </c>
      <c r="E59" s="50" t="str">
        <f>_xlfn.XLOOKUP(A59,tbl_employee[employee_id],tbl_employee[gender])</f>
        <v>Female</v>
      </c>
      <c r="F59" s="50">
        <f>_xlfn.XLOOKUP(A59,tbl_employee[employee_id],tbl_employee[age])</f>
        <v>24</v>
      </c>
      <c r="G59" s="50" t="str" cm="1">
        <f t="array" ref="G59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59" s="51">
        <f>AVERAGEIF(tbl_performance[employee_id],A59,tbl_performance[performance_pct])</f>
        <v>1.0277777777777777</v>
      </c>
      <c r="I59" s="50">
        <f>COUNTIF(tbl_performance[employee_id],A59)</f>
        <v>6</v>
      </c>
      <c r="J59" s="50" t="str" cm="1">
        <f t="array" ref="J59">_xlfn.IFS(H59 &gt;= 1.1,"Excellent", H59&gt;=1,"Good",H59&gt;=0.85,"Average",TRUE,"Poor")</f>
        <v>Good</v>
      </c>
      <c r="K59" s="50">
        <f>_xlfn.RANK.EQ(tbl_employee_summary[[#This Row],[avg_performance_pct]], tbl_employee_summary[avg_performance_pct], 0)</f>
        <v>29</v>
      </c>
    </row>
    <row r="60" spans="1:11" ht="19.8" x14ac:dyDescent="0.65">
      <c r="A60" s="45" t="s">
        <v>152</v>
      </c>
      <c r="B60" s="50" t="str">
        <f>_xlfn.XLOOKUP(A60,tbl_employee[employee_id],tbl_employee[name])</f>
        <v>Arjun Nair</v>
      </c>
      <c r="C60" s="50" t="str">
        <f>_xlfn.XLOOKUP(A60,tbl_employee[employee_id],tbl_employee[role])</f>
        <v>Software Engineer</v>
      </c>
      <c r="D60" s="50" t="str">
        <f>_xlfn.XLOOKUP(A60,tbl_employee[employee_id],tbl_employee[department])</f>
        <v>Engineering</v>
      </c>
      <c r="E60" s="50" t="str">
        <f>_xlfn.XLOOKUP(A60,tbl_employee[employee_id],tbl_employee[gender])</f>
        <v>Male</v>
      </c>
      <c r="F60" s="50">
        <f>_xlfn.XLOOKUP(A60,tbl_employee[employee_id],tbl_employee[age])</f>
        <v>22</v>
      </c>
      <c r="G60" s="50" t="str" cm="1">
        <f t="array" ref="G60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0" s="51">
        <f>AVERAGEIF(tbl_performance[employee_id],A60,tbl_performance[performance_pct])</f>
        <v>1.075019475000125</v>
      </c>
      <c r="I60" s="50">
        <f>COUNTIF(tbl_performance[employee_id],A60)</f>
        <v>12</v>
      </c>
      <c r="J60" s="50" t="str" cm="1">
        <f t="array" ref="J60">_xlfn.IFS(H60 &gt;= 1.1,"Excellent", H60&gt;=1,"Good",H60&gt;=0.85,"Average",TRUE,"Poor")</f>
        <v>Good</v>
      </c>
      <c r="K60" s="50">
        <f>_xlfn.RANK.EQ(tbl_employee_summary[[#This Row],[avg_performance_pct]], tbl_employee_summary[avg_performance_pct], 0)</f>
        <v>13</v>
      </c>
    </row>
    <row r="61" spans="1:11" ht="19.8" x14ac:dyDescent="0.65">
      <c r="A61" s="45" t="s">
        <v>154</v>
      </c>
      <c r="B61" s="50" t="str">
        <f>_xlfn.XLOOKUP(A61,tbl_employee[employee_id],tbl_employee[name])</f>
        <v>Sophia Brown</v>
      </c>
      <c r="C61" s="50" t="str">
        <f>_xlfn.XLOOKUP(A61,tbl_employee[employee_id],tbl_employee[role])</f>
        <v>Sales Manager</v>
      </c>
      <c r="D61" s="50" t="str">
        <f>_xlfn.XLOOKUP(A61,tbl_employee[employee_id],tbl_employee[department])</f>
        <v>Sales</v>
      </c>
      <c r="E61" s="50" t="str">
        <f>_xlfn.XLOOKUP(A61,tbl_employee[employee_id],tbl_employee[gender])</f>
        <v>Female</v>
      </c>
      <c r="F61" s="50">
        <f>_xlfn.XLOOKUP(A61,tbl_employee[employee_id],tbl_employee[age])</f>
        <v>38</v>
      </c>
      <c r="G61" s="50" t="str" cm="1">
        <f t="array" ref="G6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61" s="51">
        <f>AVERAGEIF(tbl_performance[employee_id],A61,tbl_performance[performance_pct])</f>
        <v>0.92931023022321246</v>
      </c>
      <c r="I61" s="50">
        <f>COUNTIF(tbl_performance[employee_id],A61)</f>
        <v>12</v>
      </c>
      <c r="J61" s="50" t="str" cm="1">
        <f t="array" ref="J61">_xlfn.IFS(H61 &gt;= 1.1,"Excellent", H61&gt;=1,"Good",H61&gt;=0.85,"Average",TRUE,"Poor")</f>
        <v>Average</v>
      </c>
      <c r="K61" s="50">
        <f>_xlfn.RANK.EQ(tbl_employee_summary[[#This Row],[avg_performance_pct]], tbl_employee_summary[avg_performance_pct], 0)</f>
        <v>65</v>
      </c>
    </row>
    <row r="62" spans="1:11" ht="19.8" x14ac:dyDescent="0.65">
      <c r="A62" s="45" t="s">
        <v>156</v>
      </c>
      <c r="B62" s="50" t="str">
        <f>_xlfn.XLOOKUP(A62,tbl_employee[employee_id],tbl_employee[name])</f>
        <v>Emma Verma</v>
      </c>
      <c r="C62" s="50" t="str">
        <f>_xlfn.XLOOKUP(A62,tbl_employee[employee_id],tbl_employee[role])</f>
        <v>Sales Executive</v>
      </c>
      <c r="D62" s="50" t="str">
        <f>_xlfn.XLOOKUP(A62,tbl_employee[employee_id],tbl_employee[department])</f>
        <v>Sales</v>
      </c>
      <c r="E62" s="50" t="str">
        <f>_xlfn.XLOOKUP(A62,tbl_employee[employee_id],tbl_employee[gender])</f>
        <v>Female</v>
      </c>
      <c r="F62" s="50">
        <f>_xlfn.XLOOKUP(A62,tbl_employee[employee_id],tbl_employee[age])</f>
        <v>28</v>
      </c>
      <c r="G62" s="50" t="str" cm="1">
        <f t="array" ref="G6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2" s="51">
        <f>AVERAGEIF(tbl_performance[employee_id],A62,tbl_performance[performance_pct])</f>
        <v>0.98873182997209685</v>
      </c>
      <c r="I62" s="50">
        <f>COUNTIF(tbl_performance[employee_id],A62)</f>
        <v>12</v>
      </c>
      <c r="J62" s="50" t="str" cm="1">
        <f t="array" ref="J62">_xlfn.IFS(H62 &gt;= 1.1,"Excellent", H62&gt;=1,"Good",H62&gt;=0.85,"Average",TRUE,"Poor")</f>
        <v>Average</v>
      </c>
      <c r="K62" s="50">
        <f>_xlfn.RANK.EQ(tbl_employee_summary[[#This Row],[avg_performance_pct]], tbl_employee_summary[avg_performance_pct], 0)</f>
        <v>46</v>
      </c>
    </row>
    <row r="63" spans="1:11" ht="19.8" x14ac:dyDescent="0.65">
      <c r="A63" s="45" t="s">
        <v>158</v>
      </c>
      <c r="B63" s="50" t="str">
        <f>_xlfn.XLOOKUP(A63,tbl_employee[employee_id],tbl_employee[name])</f>
        <v>Rajesh Abdullah</v>
      </c>
      <c r="C63" s="50" t="str">
        <f>_xlfn.XLOOKUP(A63,tbl_employee[employee_id],tbl_employee[role])</f>
        <v>Support Associate</v>
      </c>
      <c r="D63" s="50" t="str">
        <f>_xlfn.XLOOKUP(A63,tbl_employee[employee_id],tbl_employee[department])</f>
        <v>Customer Support</v>
      </c>
      <c r="E63" s="50" t="str">
        <f>_xlfn.XLOOKUP(A63,tbl_employee[employee_id],tbl_employee[gender])</f>
        <v>Male</v>
      </c>
      <c r="F63" s="50">
        <f>_xlfn.XLOOKUP(A63,tbl_employee[employee_id],tbl_employee[age])</f>
        <v>24</v>
      </c>
      <c r="G63" s="50" t="str" cm="1">
        <f t="array" ref="G6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3" s="51">
        <f>AVERAGEIF(tbl_performance[employee_id],A63,tbl_performance[performance_pct])</f>
        <v>0.79511173106583344</v>
      </c>
      <c r="I63" s="50">
        <f>COUNTIF(tbl_performance[employee_id],A63)</f>
        <v>12</v>
      </c>
      <c r="J63" s="50" t="str" cm="1">
        <f t="array" ref="J63">_xlfn.IFS(H63 &gt;= 1.1,"Excellent", H63&gt;=1,"Good",H63&gt;=0.85,"Average",TRUE,"Poor")</f>
        <v>Poor</v>
      </c>
      <c r="K63" s="50">
        <f>_xlfn.RANK.EQ(tbl_employee_summary[[#This Row],[avg_performance_pct]], tbl_employee_summary[avg_performance_pct], 0)</f>
        <v>93</v>
      </c>
    </row>
    <row r="64" spans="1:11" ht="19.8" x14ac:dyDescent="0.65">
      <c r="A64" s="45" t="s">
        <v>160</v>
      </c>
      <c r="B64" s="50" t="str">
        <f>_xlfn.XLOOKUP(A64,tbl_employee[employee_id],tbl_employee[name])</f>
        <v>Sameer Patel</v>
      </c>
      <c r="C64" s="50" t="str">
        <f>_xlfn.XLOOKUP(A64,tbl_employee[employee_id],tbl_employee[role])</f>
        <v>Operations Associate</v>
      </c>
      <c r="D64" s="50" t="str">
        <f>_xlfn.XLOOKUP(A64,tbl_employee[employee_id],tbl_employee[department])</f>
        <v>Operations</v>
      </c>
      <c r="E64" s="50" t="str">
        <f>_xlfn.XLOOKUP(A64,tbl_employee[employee_id],tbl_employee[gender])</f>
        <v>Male</v>
      </c>
      <c r="F64" s="50">
        <f>_xlfn.XLOOKUP(A64,tbl_employee[employee_id],tbl_employee[age])</f>
        <v>27</v>
      </c>
      <c r="G64" s="50" t="str" cm="1">
        <f t="array" ref="G6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4" s="51">
        <f>AVERAGEIF(tbl_performance[employee_id],A64,tbl_performance[performance_pct])</f>
        <v>0.89742388424493214</v>
      </c>
      <c r="I64" s="50">
        <f>COUNTIF(tbl_performance[employee_id],A64)</f>
        <v>12</v>
      </c>
      <c r="J64" s="50" t="str" cm="1">
        <f t="array" ref="J64">_xlfn.IFS(H64 &gt;= 1.1,"Excellent", H64&gt;=1,"Good",H64&gt;=0.85,"Average",TRUE,"Poor")</f>
        <v>Average</v>
      </c>
      <c r="K64" s="50">
        <f>_xlfn.RANK.EQ(tbl_employee_summary[[#This Row],[avg_performance_pct]], tbl_employee_summary[avg_performance_pct], 0)</f>
        <v>71</v>
      </c>
    </row>
    <row r="65" spans="1:11" ht="19.8" x14ac:dyDescent="0.65">
      <c r="A65" s="45" t="s">
        <v>162</v>
      </c>
      <c r="B65" s="50" t="str">
        <f>_xlfn.XLOOKUP(A65,tbl_employee[employee_id],tbl_employee[name])</f>
        <v>John Nair</v>
      </c>
      <c r="C65" s="50" t="str">
        <f>_xlfn.XLOOKUP(A65,tbl_employee[employee_id],tbl_employee[role])</f>
        <v>Support Associate</v>
      </c>
      <c r="D65" s="50" t="str">
        <f>_xlfn.XLOOKUP(A65,tbl_employee[employee_id],tbl_employee[department])</f>
        <v>Customer Support</v>
      </c>
      <c r="E65" s="50" t="str">
        <f>_xlfn.XLOOKUP(A65,tbl_employee[employee_id],tbl_employee[gender])</f>
        <v>Male</v>
      </c>
      <c r="F65" s="50">
        <f>_xlfn.XLOOKUP(A65,tbl_employee[employee_id],tbl_employee[age])</f>
        <v>28</v>
      </c>
      <c r="G65" s="50" t="str" cm="1">
        <f t="array" ref="G65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5" s="51">
        <f>AVERAGEIF(tbl_performance[employee_id],A65,tbl_performance[performance_pct])</f>
        <v>0.90775015468071663</v>
      </c>
      <c r="I65" s="50">
        <f>COUNTIF(tbl_performance[employee_id],A65)</f>
        <v>12</v>
      </c>
      <c r="J65" s="50" t="str" cm="1">
        <f t="array" ref="J65">_xlfn.IFS(H65 &gt;= 1.1,"Excellent", H65&gt;=1,"Good",H65&gt;=0.85,"Average",TRUE,"Poor")</f>
        <v>Average</v>
      </c>
      <c r="K65" s="50">
        <f>_xlfn.RANK.EQ(tbl_employee_summary[[#This Row],[avg_performance_pct]], tbl_employee_summary[avg_performance_pct], 0)</f>
        <v>70</v>
      </c>
    </row>
    <row r="66" spans="1:11" ht="19.8" x14ac:dyDescent="0.65">
      <c r="A66" s="45" t="s">
        <v>164</v>
      </c>
      <c r="B66" s="50" t="str">
        <f>_xlfn.XLOOKUP(A66,tbl_employee[employee_id],tbl_employee[name])</f>
        <v>Layla Mohammed</v>
      </c>
      <c r="C66" s="50" t="str">
        <f>_xlfn.XLOOKUP(A66,tbl_employee[employee_id],tbl_employee[role])</f>
        <v>Support Associate</v>
      </c>
      <c r="D66" s="50" t="str">
        <f>_xlfn.XLOOKUP(A66,tbl_employee[employee_id],tbl_employee[department])</f>
        <v>Customer Support</v>
      </c>
      <c r="E66" s="50" t="str">
        <f>_xlfn.XLOOKUP(A66,tbl_employee[employee_id],tbl_employee[gender])</f>
        <v>Female</v>
      </c>
      <c r="F66" s="50">
        <f>_xlfn.XLOOKUP(A66,tbl_employee[employee_id],tbl_employee[age])</f>
        <v>28</v>
      </c>
      <c r="G66" s="50" t="str" cm="1">
        <f t="array" ref="G6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6" s="51">
        <f>AVERAGEIF(tbl_performance[employee_id],A66,tbl_performance[performance_pct])</f>
        <v>0.85160549523415741</v>
      </c>
      <c r="I66" s="50">
        <f>COUNTIF(tbl_performance[employee_id],A66)</f>
        <v>12</v>
      </c>
      <c r="J66" s="50" t="str" cm="1">
        <f t="array" ref="J66">_xlfn.IFS(H66 &gt;= 1.1,"Excellent", H66&gt;=1,"Good",H66&gt;=0.85,"Average",TRUE,"Poor")</f>
        <v>Average</v>
      </c>
      <c r="K66" s="50">
        <f>_xlfn.RANK.EQ(tbl_employee_summary[[#This Row],[avg_performance_pct]], tbl_employee_summary[avg_performance_pct], 0)</f>
        <v>80</v>
      </c>
    </row>
    <row r="67" spans="1:11" ht="19.8" x14ac:dyDescent="0.65">
      <c r="A67" s="45" t="s">
        <v>165</v>
      </c>
      <c r="B67" s="50" t="str">
        <f>_xlfn.XLOOKUP(A67,tbl_employee[employee_id],tbl_employee[name])</f>
        <v>Wei Saeed</v>
      </c>
      <c r="C67" s="50" t="str">
        <f>_xlfn.XLOOKUP(A67,tbl_employee[employee_id],tbl_employee[role])</f>
        <v>Content Specialist</v>
      </c>
      <c r="D67" s="50" t="str">
        <f>_xlfn.XLOOKUP(A67,tbl_employee[employee_id],tbl_employee[department])</f>
        <v>Marketing</v>
      </c>
      <c r="E67" s="50" t="str">
        <f>_xlfn.XLOOKUP(A67,tbl_employee[employee_id],tbl_employee[gender])</f>
        <v>Male</v>
      </c>
      <c r="F67" s="50">
        <f>_xlfn.XLOOKUP(A67,tbl_employee[employee_id],tbl_employee[age])</f>
        <v>28</v>
      </c>
      <c r="G67" s="50" t="str" cm="1">
        <f t="array" ref="G6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7" s="51">
        <f>AVERAGEIF(tbl_performance[employee_id],A67,tbl_performance[performance_pct])</f>
        <v>1.1200548625885183</v>
      </c>
      <c r="I67" s="50">
        <f>COUNTIF(tbl_performance[employee_id],A67)</f>
        <v>10</v>
      </c>
      <c r="J67" s="50" t="str" cm="1">
        <f t="array" ref="J67">_xlfn.IFS(H67 &gt;= 1.1,"Excellent", H67&gt;=1,"Good",H67&gt;=0.85,"Average",TRUE,"Poor")</f>
        <v>Excellent</v>
      </c>
      <c r="K67" s="50">
        <f>_xlfn.RANK.EQ(tbl_employee_summary[[#This Row],[avg_performance_pct]], tbl_employee_summary[avg_performance_pct], 0)</f>
        <v>3</v>
      </c>
    </row>
    <row r="68" spans="1:11" ht="19.8" x14ac:dyDescent="0.65">
      <c r="A68" s="45" t="s">
        <v>168</v>
      </c>
      <c r="B68" s="50" t="str">
        <f>_xlfn.XLOOKUP(A68,tbl_employee[employee_id],tbl_employee[name])</f>
        <v>Pooja Iqbal</v>
      </c>
      <c r="C68" s="50" t="str">
        <f>_xlfn.XLOOKUP(A68,tbl_employee[employee_id],tbl_employee[role])</f>
        <v>Finance Manager</v>
      </c>
      <c r="D68" s="50" t="str">
        <f>_xlfn.XLOOKUP(A68,tbl_employee[employee_id],tbl_employee[department])</f>
        <v>Finance</v>
      </c>
      <c r="E68" s="50" t="str">
        <f>_xlfn.XLOOKUP(A68,tbl_employee[employee_id],tbl_employee[gender])</f>
        <v>Female</v>
      </c>
      <c r="F68" s="50">
        <f>_xlfn.XLOOKUP(A68,tbl_employee[employee_id],tbl_employee[age])</f>
        <v>44</v>
      </c>
      <c r="G68" s="50" t="str" cm="1">
        <f t="array" ref="G68">_xlfn.IFS(tbl_employee_summary[[#This Row],[age]]&lt;30,"Early Career",tbl_employee_summary[[#This Row],[age]]&lt;40,"Mid Career",tbl_employee_summary[[#This Row],[age]] &lt;50,"Senior",tbl_employee_summary[[#This Row],[age]]&gt;=50, "Experienced")</f>
        <v>Senior</v>
      </c>
      <c r="H68" s="51">
        <f>AVERAGEIF(tbl_performance[employee_id],A68,tbl_performance[performance_pct])</f>
        <v>1.1114569461883281</v>
      </c>
      <c r="I68" s="50">
        <f>COUNTIF(tbl_performance[employee_id],A68)</f>
        <v>12</v>
      </c>
      <c r="J68" s="50" t="str" cm="1">
        <f t="array" ref="J68">_xlfn.IFS(H68 &gt;= 1.1,"Excellent", H68&gt;=1,"Good",H68&gt;=0.85,"Average",TRUE,"Poor")</f>
        <v>Excellent</v>
      </c>
      <c r="K68" s="50">
        <f>_xlfn.RANK.EQ(tbl_employee_summary[[#This Row],[avg_performance_pct]], tbl_employee_summary[avg_performance_pct], 0)</f>
        <v>6</v>
      </c>
    </row>
    <row r="69" spans="1:11" ht="19.8" x14ac:dyDescent="0.65">
      <c r="A69" s="45" t="s">
        <v>170</v>
      </c>
      <c r="B69" s="50" t="str">
        <f>_xlfn.XLOOKUP(A69,tbl_employee[employee_id],tbl_employee[name])</f>
        <v>Omar Iqbal</v>
      </c>
      <c r="C69" s="50" t="str">
        <f>_xlfn.XLOOKUP(A69,tbl_employee[employee_id],tbl_employee[role])</f>
        <v>Senior Sales Executive</v>
      </c>
      <c r="D69" s="50" t="str">
        <f>_xlfn.XLOOKUP(A69,tbl_employee[employee_id],tbl_employee[department])</f>
        <v>Sales</v>
      </c>
      <c r="E69" s="50" t="str">
        <f>_xlfn.XLOOKUP(A69,tbl_employee[employee_id],tbl_employee[gender])</f>
        <v>Male</v>
      </c>
      <c r="F69" s="50">
        <f>_xlfn.XLOOKUP(A69,tbl_employee[employee_id],tbl_employee[age])</f>
        <v>25</v>
      </c>
      <c r="G69" s="50" t="str" cm="1">
        <f t="array" ref="G69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69" s="51">
        <f>AVERAGEIF(tbl_performance[employee_id],A69,tbl_performance[performance_pct])</f>
        <v>1.096421865876672</v>
      </c>
      <c r="I69" s="50">
        <f>COUNTIF(tbl_performance[employee_id],A69)</f>
        <v>12</v>
      </c>
      <c r="J69" s="50" t="str" cm="1">
        <f t="array" ref="J69">_xlfn.IFS(H69 &gt;= 1.1,"Excellent", H69&gt;=1,"Good",H69&gt;=0.85,"Average",TRUE,"Poor")</f>
        <v>Good</v>
      </c>
      <c r="K69" s="50">
        <f>_xlfn.RANK.EQ(tbl_employee_summary[[#This Row],[avg_performance_pct]], tbl_employee_summary[avg_performance_pct], 0)</f>
        <v>9</v>
      </c>
    </row>
    <row r="70" spans="1:11" ht="19.8" x14ac:dyDescent="0.65">
      <c r="A70" s="45" t="s">
        <v>172</v>
      </c>
      <c r="B70" s="50" t="str">
        <f>_xlfn.XLOOKUP(A70,tbl_employee[employee_id],tbl_employee[name])</f>
        <v>Rajesh Gupta</v>
      </c>
      <c r="C70" s="50" t="str">
        <f>_xlfn.XLOOKUP(A70,tbl_employee[employee_id],tbl_employee[role])</f>
        <v>DevOps Engineer</v>
      </c>
      <c r="D70" s="50" t="str">
        <f>_xlfn.XLOOKUP(A70,tbl_employee[employee_id],tbl_employee[department])</f>
        <v>Engineering</v>
      </c>
      <c r="E70" s="50" t="str">
        <f>_xlfn.XLOOKUP(A70,tbl_employee[employee_id],tbl_employee[gender])</f>
        <v>Male</v>
      </c>
      <c r="F70" s="50">
        <f>_xlfn.XLOOKUP(A70,tbl_employee[employee_id],tbl_employee[age])</f>
        <v>33</v>
      </c>
      <c r="G70" s="50" t="str" cm="1">
        <f t="array" ref="G70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0" s="51">
        <f>AVERAGEIF(tbl_performance[employee_id],A70,tbl_performance[performance_pct])</f>
        <v>1.0699169556074124</v>
      </c>
      <c r="I70" s="50">
        <f>COUNTIF(tbl_performance[employee_id],A70)</f>
        <v>12</v>
      </c>
      <c r="J70" s="50" t="str" cm="1">
        <f t="array" ref="J70">_xlfn.IFS(H70 &gt;= 1.1,"Excellent", H70&gt;=1,"Good",H70&gt;=0.85,"Average",TRUE,"Poor")</f>
        <v>Good</v>
      </c>
      <c r="K70" s="50">
        <f>_xlfn.RANK.EQ(tbl_employee_summary[[#This Row],[avg_performance_pct]], tbl_employee_summary[avg_performance_pct], 0)</f>
        <v>15</v>
      </c>
    </row>
    <row r="71" spans="1:11" ht="19.8" x14ac:dyDescent="0.65">
      <c r="A71" s="45" t="s">
        <v>175</v>
      </c>
      <c r="B71" s="50" t="str">
        <f>_xlfn.XLOOKUP(A71,tbl_employee[employee_id],tbl_employee[name])</f>
        <v>Huda Gupta</v>
      </c>
      <c r="C71" s="50" t="str">
        <f>_xlfn.XLOOKUP(A71,tbl_employee[employee_id],tbl_employee[role])</f>
        <v>Senior Sales Executive</v>
      </c>
      <c r="D71" s="50" t="str">
        <f>_xlfn.XLOOKUP(A71,tbl_employee[employee_id],tbl_employee[department])</f>
        <v>Sales</v>
      </c>
      <c r="E71" s="50" t="str">
        <f>_xlfn.XLOOKUP(A71,tbl_employee[employee_id],tbl_employee[gender])</f>
        <v>Female</v>
      </c>
      <c r="F71" s="50">
        <f>_xlfn.XLOOKUP(A71,tbl_employee[employee_id],tbl_employee[age])</f>
        <v>39</v>
      </c>
      <c r="G71" s="50" t="str" cm="1">
        <f t="array" ref="G7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1" s="51">
        <f>AVERAGEIF(tbl_performance[employee_id],A71,tbl_performance[performance_pct])</f>
        <v>0.70131325251075671</v>
      </c>
      <c r="I71" s="50">
        <f>COUNTIF(tbl_performance[employee_id],A71)</f>
        <v>12</v>
      </c>
      <c r="J71" s="50" t="str" cm="1">
        <f t="array" ref="J71">_xlfn.IFS(H71 &gt;= 1.1,"Excellent", H71&gt;=1,"Good",H71&gt;=0.85,"Average",TRUE,"Poor")</f>
        <v>Poor</v>
      </c>
      <c r="K71" s="50">
        <f>_xlfn.RANK.EQ(tbl_employee_summary[[#This Row],[avg_performance_pct]], tbl_employee_summary[avg_performance_pct], 0)</f>
        <v>99</v>
      </c>
    </row>
    <row r="72" spans="1:11" ht="19.8" x14ac:dyDescent="0.65">
      <c r="A72" s="45" t="s">
        <v>177</v>
      </c>
      <c r="B72" s="50" t="str">
        <f>_xlfn.XLOOKUP(A72,tbl_employee[employee_id],tbl_employee[name])</f>
        <v>Sana Lee</v>
      </c>
      <c r="C72" s="50" t="str">
        <f>_xlfn.XLOOKUP(A72,tbl_employee[employee_id],tbl_employee[role])</f>
        <v>Operations Analyst</v>
      </c>
      <c r="D72" s="50" t="str">
        <f>_xlfn.XLOOKUP(A72,tbl_employee[employee_id],tbl_employee[department])</f>
        <v>Operations</v>
      </c>
      <c r="E72" s="50" t="str">
        <f>_xlfn.XLOOKUP(A72,tbl_employee[employee_id],tbl_employee[gender])</f>
        <v>Female</v>
      </c>
      <c r="F72" s="50">
        <f>_xlfn.XLOOKUP(A72,tbl_employee[employee_id],tbl_employee[age])</f>
        <v>31</v>
      </c>
      <c r="G72" s="50" t="str" cm="1">
        <f t="array" ref="G72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2" s="51">
        <f>AVERAGEIF(tbl_performance[employee_id],A72,tbl_performance[performance_pct])</f>
        <v>0.80421376750697071</v>
      </c>
      <c r="I72" s="50">
        <f>COUNTIF(tbl_performance[employee_id],A72)</f>
        <v>12</v>
      </c>
      <c r="J72" s="50" t="str" cm="1">
        <f t="array" ref="J72">_xlfn.IFS(H72 &gt;= 1.1,"Excellent", H72&gt;=1,"Good",H72&gt;=0.85,"Average",TRUE,"Poor")</f>
        <v>Poor</v>
      </c>
      <c r="K72" s="50">
        <f>_xlfn.RANK.EQ(tbl_employee_summary[[#This Row],[avg_performance_pct]], tbl_employee_summary[avg_performance_pct], 0)</f>
        <v>90</v>
      </c>
    </row>
    <row r="73" spans="1:11" ht="19.8" x14ac:dyDescent="0.65">
      <c r="A73" s="45" t="s">
        <v>179</v>
      </c>
      <c r="B73" s="50" t="str">
        <f>_xlfn.XLOOKUP(A73,tbl_employee[employee_id],tbl_employee[name])</f>
        <v>Andrew Saeed</v>
      </c>
      <c r="C73" s="50" t="str">
        <f>_xlfn.XLOOKUP(A73,tbl_employee[employee_id],tbl_employee[role])</f>
        <v>Sales Executive</v>
      </c>
      <c r="D73" s="50" t="str">
        <f>_xlfn.XLOOKUP(A73,tbl_employee[employee_id],tbl_employee[department])</f>
        <v>Sales</v>
      </c>
      <c r="E73" s="50" t="str">
        <f>_xlfn.XLOOKUP(A73,tbl_employee[employee_id],tbl_employee[gender])</f>
        <v>Male</v>
      </c>
      <c r="F73" s="50">
        <f>_xlfn.XLOOKUP(A73,tbl_employee[employee_id],tbl_employee[age])</f>
        <v>26</v>
      </c>
      <c r="G73" s="50" t="str" cm="1">
        <f t="array" ref="G7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73" s="51">
        <f>AVERAGEIF(tbl_performance[employee_id],A73,tbl_performance[performance_pct])</f>
        <v>1.001848200497728</v>
      </c>
      <c r="I73" s="50">
        <f>COUNTIF(tbl_performance[employee_id],A73)</f>
        <v>12</v>
      </c>
      <c r="J73" s="50" t="str" cm="1">
        <f t="array" ref="J73">_xlfn.IFS(H73 &gt;= 1.1,"Excellent", H73&gt;=1,"Good",H73&gt;=0.85,"Average",TRUE,"Poor")</f>
        <v>Good</v>
      </c>
      <c r="K73" s="50">
        <f>_xlfn.RANK.EQ(tbl_employee_summary[[#This Row],[avg_performance_pct]], tbl_employee_summary[avg_performance_pct], 0)</f>
        <v>41</v>
      </c>
    </row>
    <row r="74" spans="1:11" ht="19.8" x14ac:dyDescent="0.65">
      <c r="A74" s="45" t="s">
        <v>181</v>
      </c>
      <c r="B74" s="50" t="str">
        <f>_xlfn.XLOOKUP(A74,tbl_employee[employee_id],tbl_employee[name])</f>
        <v>Ali Patel</v>
      </c>
      <c r="C74" s="50" t="str">
        <f>_xlfn.XLOOKUP(A74,tbl_employee[employee_id],tbl_employee[role])</f>
        <v>Senior Support Associate</v>
      </c>
      <c r="D74" s="50" t="str">
        <f>_xlfn.XLOOKUP(A74,tbl_employee[employee_id],tbl_employee[department])</f>
        <v>Customer Support</v>
      </c>
      <c r="E74" s="50" t="str">
        <f>_xlfn.XLOOKUP(A74,tbl_employee[employee_id],tbl_employee[gender])</f>
        <v>Male</v>
      </c>
      <c r="F74" s="50">
        <f>_xlfn.XLOOKUP(A74,tbl_employee[employee_id],tbl_employee[age])</f>
        <v>37</v>
      </c>
      <c r="G74" s="50" t="str" cm="1">
        <f t="array" ref="G74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4" s="51">
        <f>AVERAGEIF(tbl_performance[employee_id],A74,tbl_performance[performance_pct])</f>
        <v>0.8643450350731765</v>
      </c>
      <c r="I74" s="50">
        <f>COUNTIF(tbl_performance[employee_id],A74)</f>
        <v>12</v>
      </c>
      <c r="J74" s="50" t="str" cm="1">
        <f t="array" ref="J74">_xlfn.IFS(H74 &gt;= 1.1,"Excellent", H74&gt;=1,"Good",H74&gt;=0.85,"Average",TRUE,"Poor")</f>
        <v>Average</v>
      </c>
      <c r="K74" s="50">
        <f>_xlfn.RANK.EQ(tbl_employee_summary[[#This Row],[avg_performance_pct]], tbl_employee_summary[avg_performance_pct], 0)</f>
        <v>76</v>
      </c>
    </row>
    <row r="75" spans="1:11" ht="19.8" x14ac:dyDescent="0.65">
      <c r="A75" s="45" t="s">
        <v>183</v>
      </c>
      <c r="B75" s="50" t="str">
        <f>_xlfn.XLOOKUP(A75,tbl_employee[employee_id],tbl_employee[name])</f>
        <v>Mei Smith</v>
      </c>
      <c r="C75" s="50" t="str">
        <f>_xlfn.XLOOKUP(A75,tbl_employee[employee_id],tbl_employee[role])</f>
        <v>HR Generalist</v>
      </c>
      <c r="D75" s="50" t="str">
        <f>_xlfn.XLOOKUP(A75,tbl_employee[employee_id],tbl_employee[department])</f>
        <v>HR</v>
      </c>
      <c r="E75" s="50" t="str">
        <f>_xlfn.XLOOKUP(A75,tbl_employee[employee_id],tbl_employee[gender])</f>
        <v>Female</v>
      </c>
      <c r="F75" s="50">
        <f>_xlfn.XLOOKUP(A75,tbl_employee[employee_id],tbl_employee[age])</f>
        <v>32</v>
      </c>
      <c r="G75" s="50" t="str" cm="1">
        <f t="array" ref="G7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5" s="51">
        <f>AVERAGEIF(tbl_performance[employee_id],A75,tbl_performance[performance_pct])</f>
        <v>0.97202380952380951</v>
      </c>
      <c r="I75" s="50">
        <f>COUNTIF(tbl_performance[employee_id],A75)</f>
        <v>12</v>
      </c>
      <c r="J75" s="50" t="str" cm="1">
        <f t="array" ref="J75">_xlfn.IFS(H75 &gt;= 1.1,"Excellent", H75&gt;=1,"Good",H75&gt;=0.85,"Average",TRUE,"Poor")</f>
        <v>Average</v>
      </c>
      <c r="K75" s="50">
        <f>_xlfn.RANK.EQ(tbl_employee_summary[[#This Row],[avg_performance_pct]], tbl_employee_summary[avg_performance_pct], 0)</f>
        <v>51</v>
      </c>
    </row>
    <row r="76" spans="1:11" ht="19.8" x14ac:dyDescent="0.65">
      <c r="A76" s="45" t="s">
        <v>185</v>
      </c>
      <c r="B76" s="50" t="str">
        <f>_xlfn.XLOOKUP(A76,tbl_employee[employee_id],tbl_employee[name])</f>
        <v>Zara Nair</v>
      </c>
      <c r="C76" s="50" t="str">
        <f>_xlfn.XLOOKUP(A76,tbl_employee[employee_id],tbl_employee[role])</f>
        <v>Support Associate</v>
      </c>
      <c r="D76" s="50" t="str">
        <f>_xlfn.XLOOKUP(A76,tbl_employee[employee_id],tbl_employee[department])</f>
        <v>Customer Support</v>
      </c>
      <c r="E76" s="50" t="str">
        <f>_xlfn.XLOOKUP(A76,tbl_employee[employee_id],tbl_employee[gender])</f>
        <v>Female</v>
      </c>
      <c r="F76" s="50">
        <f>_xlfn.XLOOKUP(A76,tbl_employee[employee_id],tbl_employee[age])</f>
        <v>31</v>
      </c>
      <c r="G76" s="50" t="str" cm="1">
        <f t="array" ref="G76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6" s="51">
        <f>AVERAGEIF(tbl_performance[employee_id],A76,tbl_performance[performance_pct])</f>
        <v>0.8511664692704447</v>
      </c>
      <c r="I76" s="50">
        <f>COUNTIF(tbl_performance[employee_id],A76)</f>
        <v>12</v>
      </c>
      <c r="J76" s="50" t="str" cm="1">
        <f t="array" ref="J76">_xlfn.IFS(H76 &gt;= 1.1,"Excellent", H76&gt;=1,"Good",H76&gt;=0.85,"Average",TRUE,"Poor")</f>
        <v>Average</v>
      </c>
      <c r="K76" s="50">
        <f>_xlfn.RANK.EQ(tbl_employee_summary[[#This Row],[avg_performance_pct]], tbl_employee_summary[avg_performance_pct], 0)</f>
        <v>81</v>
      </c>
    </row>
    <row r="77" spans="1:11" ht="19.8" x14ac:dyDescent="0.65">
      <c r="A77" s="45" t="s">
        <v>187</v>
      </c>
      <c r="B77" s="50" t="str">
        <f>_xlfn.XLOOKUP(A77,tbl_employee[employee_id],tbl_employee[name])</f>
        <v>Grace Garcia</v>
      </c>
      <c r="C77" s="50" t="str">
        <f>_xlfn.XLOOKUP(A77,tbl_employee[employee_id],tbl_employee[role])</f>
        <v>Software Engineer</v>
      </c>
      <c r="D77" s="50" t="str">
        <f>_xlfn.XLOOKUP(A77,tbl_employee[employee_id],tbl_employee[department])</f>
        <v>Engineering</v>
      </c>
      <c r="E77" s="50" t="str">
        <f>_xlfn.XLOOKUP(A77,tbl_employee[employee_id],tbl_employee[gender])</f>
        <v>Female</v>
      </c>
      <c r="F77" s="50">
        <f>_xlfn.XLOOKUP(A77,tbl_employee[employee_id],tbl_employee[age])</f>
        <v>29</v>
      </c>
      <c r="G77" s="50" t="str" cm="1">
        <f t="array" ref="G77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77" s="51">
        <f>AVERAGEIF(tbl_performance[employee_id],A77,tbl_performance[performance_pct])</f>
        <v>1.0556856666913592</v>
      </c>
      <c r="I77" s="50">
        <f>COUNTIF(tbl_performance[employee_id],A77)</f>
        <v>12</v>
      </c>
      <c r="J77" s="50" t="str" cm="1">
        <f t="array" ref="J77">_xlfn.IFS(H77 &gt;= 1.1,"Excellent", H77&gt;=1,"Good",H77&gt;=0.85,"Average",TRUE,"Poor")</f>
        <v>Good</v>
      </c>
      <c r="K77" s="50">
        <f>_xlfn.RANK.EQ(tbl_employee_summary[[#This Row],[avg_performance_pct]], tbl_employee_summary[avg_performance_pct], 0)</f>
        <v>20</v>
      </c>
    </row>
    <row r="78" spans="1:11" ht="19.8" x14ac:dyDescent="0.65">
      <c r="A78" s="45" t="s">
        <v>189</v>
      </c>
      <c r="B78" s="50" t="str">
        <f>_xlfn.XLOOKUP(A78,tbl_employee[employee_id],tbl_employee[name])</f>
        <v>Daniel Hussain</v>
      </c>
      <c r="C78" s="50" t="str">
        <f>_xlfn.XLOOKUP(A78,tbl_employee[employee_id],tbl_employee[role])</f>
        <v>Operations Analyst</v>
      </c>
      <c r="D78" s="50" t="str">
        <f>_xlfn.XLOOKUP(A78,tbl_employee[employee_id],tbl_employee[department])</f>
        <v>Operations</v>
      </c>
      <c r="E78" s="50" t="str">
        <f>_xlfn.XLOOKUP(A78,tbl_employee[employee_id],tbl_employee[gender])</f>
        <v>Male</v>
      </c>
      <c r="F78" s="50">
        <f>_xlfn.XLOOKUP(A78,tbl_employee[employee_id],tbl_employee[age])</f>
        <v>32</v>
      </c>
      <c r="G78" s="50" t="str" cm="1">
        <f t="array" ref="G7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78" s="51">
        <f>AVERAGEIF(tbl_performance[employee_id],A78,tbl_performance[performance_pct])</f>
        <v>0.99773233061943634</v>
      </c>
      <c r="I78" s="50">
        <f>COUNTIF(tbl_performance[employee_id],A78)</f>
        <v>12</v>
      </c>
      <c r="J78" s="50" t="str" cm="1">
        <f t="array" ref="J78">_xlfn.IFS(H78 &gt;= 1.1,"Excellent", H78&gt;=1,"Good",H78&gt;=0.85,"Average",TRUE,"Poor")</f>
        <v>Average</v>
      </c>
      <c r="K78" s="50">
        <f>_xlfn.RANK.EQ(tbl_employee_summary[[#This Row],[avg_performance_pct]], tbl_employee_summary[avg_performance_pct], 0)</f>
        <v>42</v>
      </c>
    </row>
    <row r="79" spans="1:11" ht="19.8" x14ac:dyDescent="0.65">
      <c r="A79" s="45" t="s">
        <v>191</v>
      </c>
      <c r="B79" s="50" t="str">
        <f>_xlfn.XLOOKUP(A79,tbl_employee[employee_id],tbl_employee[name])</f>
        <v>Ravi Rodriguez</v>
      </c>
      <c r="C79" s="50" t="str">
        <f>_xlfn.XLOOKUP(A79,tbl_employee[employee_id],tbl_employee[role])</f>
        <v>Sales Executive</v>
      </c>
      <c r="D79" s="50" t="str">
        <f>_xlfn.XLOOKUP(A79,tbl_employee[employee_id],tbl_employee[department])</f>
        <v>Sales</v>
      </c>
      <c r="E79" s="50" t="str">
        <f>_xlfn.XLOOKUP(A79,tbl_employee[employee_id],tbl_employee[gender])</f>
        <v>Male</v>
      </c>
      <c r="F79" s="50">
        <f>_xlfn.XLOOKUP(A79,tbl_employee[employee_id],tbl_employee[age])</f>
        <v>22</v>
      </c>
      <c r="G79" s="50" t="str" cm="1">
        <f t="array" ref="G79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79" s="51">
        <f>AVERAGEIF(tbl_performance[employee_id],A79,tbl_performance[performance_pct])</f>
        <v>0.80946266782204368</v>
      </c>
      <c r="I79" s="50">
        <f>COUNTIF(tbl_performance[employee_id],A79)</f>
        <v>7</v>
      </c>
      <c r="J79" s="50" t="str" cm="1">
        <f t="array" ref="J79">_xlfn.IFS(H79 &gt;= 1.1,"Excellent", H79&gt;=1,"Good",H79&gt;=0.85,"Average",TRUE,"Poor")</f>
        <v>Poor</v>
      </c>
      <c r="K79" s="50">
        <f>_xlfn.RANK.EQ(tbl_employee_summary[[#This Row],[avg_performance_pct]], tbl_employee_summary[avg_performance_pct], 0)</f>
        <v>89</v>
      </c>
    </row>
    <row r="80" spans="1:11" ht="19.8" x14ac:dyDescent="0.65">
      <c r="A80" s="45" t="s">
        <v>193</v>
      </c>
      <c r="B80" s="50" t="str">
        <f>_xlfn.XLOOKUP(A80,tbl_employee[employee_id],tbl_employee[name])</f>
        <v>Kavya Garcia</v>
      </c>
      <c r="C80" s="50" t="str">
        <f>_xlfn.XLOOKUP(A80,tbl_employee[employee_id],tbl_employee[role])</f>
        <v>HR Executive</v>
      </c>
      <c r="D80" s="50" t="str">
        <f>_xlfn.XLOOKUP(A80,tbl_employee[employee_id],tbl_employee[department])</f>
        <v>HR</v>
      </c>
      <c r="E80" s="50" t="str">
        <f>_xlfn.XLOOKUP(A80,tbl_employee[employee_id],tbl_employee[gender])</f>
        <v>Female</v>
      </c>
      <c r="F80" s="50">
        <f>_xlfn.XLOOKUP(A80,tbl_employee[employee_id],tbl_employee[age])</f>
        <v>28</v>
      </c>
      <c r="G80" s="50" t="str" cm="1">
        <f t="array" ref="G80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0" s="51">
        <f>AVERAGEIF(tbl_performance[employee_id],A80,tbl_performance[performance_pct])</f>
        <v>1.0083333333333333</v>
      </c>
      <c r="I80" s="50">
        <f>COUNTIF(tbl_performance[employee_id],A80)</f>
        <v>10</v>
      </c>
      <c r="J80" s="50" t="str" cm="1">
        <f t="array" ref="J80">_xlfn.IFS(H80 &gt;= 1.1,"Excellent", H80&gt;=1,"Good",H80&gt;=0.85,"Average",TRUE,"Poor")</f>
        <v>Good</v>
      </c>
      <c r="K80" s="50">
        <f>_xlfn.RANK.EQ(tbl_employee_summary[[#This Row],[avg_performance_pct]], tbl_employee_summary[avg_performance_pct], 0)</f>
        <v>38</v>
      </c>
    </row>
    <row r="81" spans="1:11" ht="19.8" x14ac:dyDescent="0.65">
      <c r="A81" s="45" t="s">
        <v>195</v>
      </c>
      <c r="B81" s="50" t="str">
        <f>_xlfn.XLOOKUP(A81,tbl_employee[employee_id],tbl_employee[name])</f>
        <v>Kavya Rodriguez</v>
      </c>
      <c r="C81" s="50" t="str">
        <f>_xlfn.XLOOKUP(A81,tbl_employee[employee_id],tbl_employee[role])</f>
        <v>Sales Executive</v>
      </c>
      <c r="D81" s="50" t="str">
        <f>_xlfn.XLOOKUP(A81,tbl_employee[employee_id],tbl_employee[department])</f>
        <v>Sales</v>
      </c>
      <c r="E81" s="50" t="str">
        <f>_xlfn.XLOOKUP(A81,tbl_employee[employee_id],tbl_employee[gender])</f>
        <v>Female</v>
      </c>
      <c r="F81" s="50">
        <f>_xlfn.XLOOKUP(A81,tbl_employee[employee_id],tbl_employee[age])</f>
        <v>23</v>
      </c>
      <c r="G81" s="50" t="str" cm="1">
        <f t="array" ref="G81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1" s="51">
        <f>AVERAGEIF(tbl_performance[employee_id],A81,tbl_performance[performance_pct])</f>
        <v>0.91293771883200792</v>
      </c>
      <c r="I81" s="50">
        <f>COUNTIF(tbl_performance[employee_id],A81)</f>
        <v>12</v>
      </c>
      <c r="J81" s="50" t="str" cm="1">
        <f t="array" ref="J81">_xlfn.IFS(H81 &gt;= 1.1,"Excellent", H81&gt;=1,"Good",H81&gt;=0.85,"Average",TRUE,"Poor")</f>
        <v>Average</v>
      </c>
      <c r="K81" s="50">
        <f>_xlfn.RANK.EQ(tbl_employee_summary[[#This Row],[avg_performance_pct]], tbl_employee_summary[avg_performance_pct], 0)</f>
        <v>67</v>
      </c>
    </row>
    <row r="82" spans="1:11" ht="19.8" x14ac:dyDescent="0.65">
      <c r="A82" s="45" t="s">
        <v>197</v>
      </c>
      <c r="B82" s="50" t="str">
        <f>_xlfn.XLOOKUP(A82,tbl_employee[employee_id],tbl_employee[name])</f>
        <v>Omar Patel</v>
      </c>
      <c r="C82" s="50" t="str">
        <f>_xlfn.XLOOKUP(A82,tbl_employee[employee_id],tbl_employee[role])</f>
        <v>Senior Software Engineer</v>
      </c>
      <c r="D82" s="50" t="str">
        <f>_xlfn.XLOOKUP(A82,tbl_employee[employee_id],tbl_employee[department])</f>
        <v>Engineering</v>
      </c>
      <c r="E82" s="50" t="str">
        <f>_xlfn.XLOOKUP(A82,tbl_employee[employee_id],tbl_employee[gender])</f>
        <v>Male</v>
      </c>
      <c r="F82" s="50">
        <f>_xlfn.XLOOKUP(A82,tbl_employee[employee_id],tbl_employee[age])</f>
        <v>29</v>
      </c>
      <c r="G82" s="50" t="str" cm="1">
        <f t="array" ref="G8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2" s="51">
        <f>AVERAGEIF(tbl_performance[employee_id],A82,tbl_performance[performance_pct])</f>
        <v>1.0673787931658039</v>
      </c>
      <c r="I82" s="50">
        <f>COUNTIF(tbl_performance[employee_id],A82)</f>
        <v>12</v>
      </c>
      <c r="J82" s="50" t="str" cm="1">
        <f t="array" ref="J82">_xlfn.IFS(H82 &gt;= 1.1,"Excellent", H82&gt;=1,"Good",H82&gt;=0.85,"Average",TRUE,"Poor")</f>
        <v>Good</v>
      </c>
      <c r="K82" s="50">
        <f>_xlfn.RANK.EQ(tbl_employee_summary[[#This Row],[avg_performance_pct]], tbl_employee_summary[avg_performance_pct], 0)</f>
        <v>16</v>
      </c>
    </row>
    <row r="83" spans="1:11" ht="19.8" x14ac:dyDescent="0.65">
      <c r="A83" s="45" t="s">
        <v>199</v>
      </c>
      <c r="B83" s="50" t="str">
        <f>_xlfn.XLOOKUP(A83,tbl_employee[employee_id],tbl_employee[name])</f>
        <v>Hala Brown</v>
      </c>
      <c r="C83" s="50" t="str">
        <f>_xlfn.XLOOKUP(A83,tbl_employee[employee_id],tbl_employee[role])</f>
        <v>Sales Executive</v>
      </c>
      <c r="D83" s="50" t="str">
        <f>_xlfn.XLOOKUP(A83,tbl_employee[employee_id],tbl_employee[department])</f>
        <v>Sales</v>
      </c>
      <c r="E83" s="50" t="str">
        <f>_xlfn.XLOOKUP(A83,tbl_employee[employee_id],tbl_employee[gender])</f>
        <v>Female</v>
      </c>
      <c r="F83" s="50">
        <f>_xlfn.XLOOKUP(A83,tbl_employee[employee_id],tbl_employee[age])</f>
        <v>22</v>
      </c>
      <c r="G83" s="50" t="str" cm="1">
        <f t="array" ref="G8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3" s="51">
        <f>AVERAGEIF(tbl_performance[employee_id],A83,tbl_performance[performance_pct])</f>
        <v>0.92212970419744644</v>
      </c>
      <c r="I83" s="50">
        <f>COUNTIF(tbl_performance[employee_id],A83)</f>
        <v>12</v>
      </c>
      <c r="J83" s="50" t="str" cm="1">
        <f t="array" ref="J83">_xlfn.IFS(H83 &gt;= 1.1,"Excellent", H83&gt;=1,"Good",H83&gt;=0.85,"Average",TRUE,"Poor")</f>
        <v>Average</v>
      </c>
      <c r="K83" s="50">
        <f>_xlfn.RANK.EQ(tbl_employee_summary[[#This Row],[avg_performance_pct]], tbl_employee_summary[avg_performance_pct], 0)</f>
        <v>66</v>
      </c>
    </row>
    <row r="84" spans="1:11" ht="19.8" x14ac:dyDescent="0.65">
      <c r="A84" s="45" t="s">
        <v>201</v>
      </c>
      <c r="B84" s="50" t="str">
        <f>_xlfn.XLOOKUP(A84,tbl_employee[employee_id],tbl_employee[name])</f>
        <v>Imran Farooq</v>
      </c>
      <c r="C84" s="50" t="str">
        <f>_xlfn.XLOOKUP(A84,tbl_employee[employee_id],tbl_employee[role])</f>
        <v>Operations Analyst</v>
      </c>
      <c r="D84" s="50" t="str">
        <f>_xlfn.XLOOKUP(A84,tbl_employee[employee_id],tbl_employee[department])</f>
        <v>Operations</v>
      </c>
      <c r="E84" s="50" t="str">
        <f>_xlfn.XLOOKUP(A84,tbl_employee[employee_id],tbl_employee[gender])</f>
        <v>Male</v>
      </c>
      <c r="F84" s="50">
        <f>_xlfn.XLOOKUP(A84,tbl_employee[employee_id],tbl_employee[age])</f>
        <v>25</v>
      </c>
      <c r="G84" s="50" t="str" cm="1">
        <f t="array" ref="G8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4" s="51">
        <f>AVERAGEIF(tbl_performance[employee_id],A84,tbl_performance[performance_pct])</f>
        <v>0.89168656138845259</v>
      </c>
      <c r="I84" s="50">
        <f>COUNTIF(tbl_performance[employee_id],A84)</f>
        <v>12</v>
      </c>
      <c r="J84" s="50" t="str" cm="1">
        <f t="array" ref="J84">_xlfn.IFS(H84 &gt;= 1.1,"Excellent", H84&gt;=1,"Good",H84&gt;=0.85,"Average",TRUE,"Poor")</f>
        <v>Average</v>
      </c>
      <c r="K84" s="50">
        <f>_xlfn.RANK.EQ(tbl_employee_summary[[#This Row],[avg_performance_pct]], tbl_employee_summary[avg_performance_pct], 0)</f>
        <v>74</v>
      </c>
    </row>
    <row r="85" spans="1:11" ht="19.8" x14ac:dyDescent="0.65">
      <c r="A85" s="45" t="s">
        <v>203</v>
      </c>
      <c r="B85" s="50" t="str">
        <f>_xlfn.XLOOKUP(A85,tbl_employee[employee_id],tbl_employee[name])</f>
        <v>Rahul Hassan</v>
      </c>
      <c r="C85" s="50" t="str">
        <f>_xlfn.XLOOKUP(A85,tbl_employee[employee_id],tbl_employee[role])</f>
        <v>HR Manager</v>
      </c>
      <c r="D85" s="50" t="str">
        <f>_xlfn.XLOOKUP(A85,tbl_employee[employee_id],tbl_employee[department])</f>
        <v>HR</v>
      </c>
      <c r="E85" s="50" t="str">
        <f>_xlfn.XLOOKUP(A85,tbl_employee[employee_id],tbl_employee[gender])</f>
        <v>Male</v>
      </c>
      <c r="F85" s="50">
        <f>_xlfn.XLOOKUP(A85,tbl_employee[employee_id],tbl_employee[age])</f>
        <v>30</v>
      </c>
      <c r="G85" s="50" t="str" cm="1">
        <f t="array" ref="G8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85" s="51">
        <f>AVERAGEIF(tbl_performance[employee_id],A85,tbl_performance[performance_pct])</f>
        <v>1.0347250566893424</v>
      </c>
      <c r="I85" s="50">
        <f>COUNTIF(tbl_performance[employee_id],A85)</f>
        <v>12</v>
      </c>
      <c r="J85" s="50" t="str" cm="1">
        <f t="array" ref="J85">_xlfn.IFS(H85 &gt;= 1.1,"Excellent", H85&gt;=1,"Good",H85&gt;=0.85,"Average",TRUE,"Poor")</f>
        <v>Good</v>
      </c>
      <c r="K85" s="50">
        <f>_xlfn.RANK.EQ(tbl_employee_summary[[#This Row],[avg_performance_pct]], tbl_employee_summary[avg_performance_pct], 0)</f>
        <v>26</v>
      </c>
    </row>
    <row r="86" spans="1:11" ht="19.8" x14ac:dyDescent="0.65">
      <c r="A86" s="45" t="s">
        <v>206</v>
      </c>
      <c r="B86" s="50" t="str">
        <f>_xlfn.XLOOKUP(A86,tbl_employee[employee_id],tbl_employee[name])</f>
        <v>Anjali Smith</v>
      </c>
      <c r="C86" s="50" t="str">
        <f>_xlfn.XLOOKUP(A86,tbl_employee[employee_id],tbl_employee[role])</f>
        <v>Software Engineer</v>
      </c>
      <c r="D86" s="50" t="str">
        <f>_xlfn.XLOOKUP(A86,tbl_employee[employee_id],tbl_employee[department])</f>
        <v>Engineering</v>
      </c>
      <c r="E86" s="50" t="str">
        <f>_xlfn.XLOOKUP(A86,tbl_employee[employee_id],tbl_employee[gender])</f>
        <v>Female</v>
      </c>
      <c r="F86" s="50">
        <f>_xlfn.XLOOKUP(A86,tbl_employee[employee_id],tbl_employee[age])</f>
        <v>27</v>
      </c>
      <c r="G86" s="50" t="str" cm="1">
        <f t="array" ref="G86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6" s="51">
        <f>AVERAGEIF(tbl_performance[employee_id],A86,tbl_performance[performance_pct])</f>
        <v>1.1091172220157726</v>
      </c>
      <c r="I86" s="50">
        <f>COUNTIF(tbl_performance[employee_id],A86)</f>
        <v>12</v>
      </c>
      <c r="J86" s="50" t="str" cm="1">
        <f t="array" ref="J86">_xlfn.IFS(H86 &gt;= 1.1,"Excellent", H86&gt;=1,"Good",H86&gt;=0.85,"Average",TRUE,"Poor")</f>
        <v>Excellent</v>
      </c>
      <c r="K86" s="50">
        <f>_xlfn.RANK.EQ(tbl_employee_summary[[#This Row],[avg_performance_pct]], tbl_employee_summary[avg_performance_pct], 0)</f>
        <v>7</v>
      </c>
    </row>
    <row r="87" spans="1:11" ht="19.8" x14ac:dyDescent="0.65">
      <c r="A87" s="45" t="s">
        <v>208</v>
      </c>
      <c r="B87" s="50" t="str">
        <f>_xlfn.XLOOKUP(A87,tbl_employee[employee_id],tbl_employee[name])</f>
        <v>Ahmed Patel</v>
      </c>
      <c r="C87" s="50" t="str">
        <f>_xlfn.XLOOKUP(A87,tbl_employee[employee_id],tbl_employee[role])</f>
        <v>Software Engineer</v>
      </c>
      <c r="D87" s="50" t="str">
        <f>_xlfn.XLOOKUP(A87,tbl_employee[employee_id],tbl_employee[department])</f>
        <v>Engineering</v>
      </c>
      <c r="E87" s="50" t="str">
        <f>_xlfn.XLOOKUP(A87,tbl_employee[employee_id],tbl_employee[gender])</f>
        <v>Male</v>
      </c>
      <c r="F87" s="50">
        <f>_xlfn.XLOOKUP(A87,tbl_employee[employee_id],tbl_employee[age])</f>
        <v>34</v>
      </c>
      <c r="G87" s="50" t="str" cm="1">
        <f t="array" ref="G87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87" s="51">
        <f>AVERAGEIF(tbl_performance[employee_id],A87,tbl_performance[performance_pct])</f>
        <v>1.0671793845892517</v>
      </c>
      <c r="I87" s="50">
        <f>COUNTIF(tbl_performance[employee_id],A87)</f>
        <v>12</v>
      </c>
      <c r="J87" s="50" t="str" cm="1">
        <f t="array" ref="J87">_xlfn.IFS(H87 &gt;= 1.1,"Excellent", H87&gt;=1,"Good",H87&gt;=0.85,"Average",TRUE,"Poor")</f>
        <v>Good</v>
      </c>
      <c r="K87" s="50">
        <f>_xlfn.RANK.EQ(tbl_employee_summary[[#This Row],[avg_performance_pct]], tbl_employee_summary[avg_performance_pct], 0)</f>
        <v>17</v>
      </c>
    </row>
    <row r="88" spans="1:11" ht="19.8" x14ac:dyDescent="0.65">
      <c r="A88" s="45" t="s">
        <v>210</v>
      </c>
      <c r="B88" s="50" t="str">
        <f>_xlfn.XLOOKUP(A88,tbl_employee[employee_id],tbl_employee[name])</f>
        <v>Zara Brown</v>
      </c>
      <c r="C88" s="50" t="str">
        <f>_xlfn.XLOOKUP(A88,tbl_employee[employee_id],tbl_employee[role])</f>
        <v>Sales Executive</v>
      </c>
      <c r="D88" s="50" t="str">
        <f>_xlfn.XLOOKUP(A88,tbl_employee[employee_id],tbl_employee[department])</f>
        <v>Sales</v>
      </c>
      <c r="E88" s="50" t="str">
        <f>_xlfn.XLOOKUP(A88,tbl_employee[employee_id],tbl_employee[gender])</f>
        <v>Female</v>
      </c>
      <c r="F88" s="50">
        <f>_xlfn.XLOOKUP(A88,tbl_employee[employee_id],tbl_employee[age])</f>
        <v>33</v>
      </c>
      <c r="G88" s="50" t="str" cm="1">
        <f t="array" ref="G88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88" s="51">
        <f>AVERAGEIF(tbl_performance[employee_id],A88,tbl_performance[performance_pct])</f>
        <v>0.74955650212475955</v>
      </c>
      <c r="I88" s="50">
        <f>COUNTIF(tbl_performance[employee_id],A88)</f>
        <v>12</v>
      </c>
      <c r="J88" s="50" t="str" cm="1">
        <f t="array" ref="J88">_xlfn.IFS(H88 &gt;= 1.1,"Excellent", H88&gt;=1,"Good",H88&gt;=0.85,"Average",TRUE,"Poor")</f>
        <v>Poor</v>
      </c>
      <c r="K88" s="50">
        <f>_xlfn.RANK.EQ(tbl_employee_summary[[#This Row],[avg_performance_pct]], tbl_employee_summary[avg_performance_pct], 0)</f>
        <v>95</v>
      </c>
    </row>
    <row r="89" spans="1:11" ht="19.8" x14ac:dyDescent="0.65">
      <c r="A89" s="45" t="s">
        <v>212</v>
      </c>
      <c r="B89" s="50" t="str">
        <f>_xlfn.XLOOKUP(A89,tbl_employee[employee_id],tbl_employee[name])</f>
        <v>Karan Al Mansoori</v>
      </c>
      <c r="C89" s="50" t="str">
        <f>_xlfn.XLOOKUP(A89,tbl_employee[employee_id],tbl_employee[role])</f>
        <v>Sales Executive</v>
      </c>
      <c r="D89" s="50" t="str">
        <f>_xlfn.XLOOKUP(A89,tbl_employee[employee_id],tbl_employee[department])</f>
        <v>Sales</v>
      </c>
      <c r="E89" s="50" t="str">
        <f>_xlfn.XLOOKUP(A89,tbl_employee[employee_id],tbl_employee[gender])</f>
        <v>Male</v>
      </c>
      <c r="F89" s="50">
        <f>_xlfn.XLOOKUP(A89,tbl_employee[employee_id],tbl_employee[age])</f>
        <v>26</v>
      </c>
      <c r="G89" s="50" t="str" cm="1">
        <f t="array" ref="G89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89" s="51">
        <f>AVERAGEIF(tbl_performance[employee_id],A89,tbl_performance[performance_pct])</f>
        <v>0.72250351180171446</v>
      </c>
      <c r="I89" s="50">
        <f>COUNTIF(tbl_performance[employee_id],A89)</f>
        <v>12</v>
      </c>
      <c r="J89" s="50" t="str" cm="1">
        <f t="array" ref="J89">_xlfn.IFS(H89 &gt;= 1.1,"Excellent", H89&gt;=1,"Good",H89&gt;=0.85,"Average",TRUE,"Poor")</f>
        <v>Poor</v>
      </c>
      <c r="K89" s="50">
        <f>_xlfn.RANK.EQ(tbl_employee_summary[[#This Row],[avg_performance_pct]], tbl_employee_summary[avg_performance_pct], 0)</f>
        <v>97</v>
      </c>
    </row>
    <row r="90" spans="1:11" ht="19.8" x14ac:dyDescent="0.65">
      <c r="A90" s="45" t="s">
        <v>213</v>
      </c>
      <c r="B90" s="50" t="str">
        <f>_xlfn.XLOOKUP(A90,tbl_employee[employee_id],tbl_employee[name])</f>
        <v>Rachel Nair</v>
      </c>
      <c r="C90" s="50" t="str">
        <f>_xlfn.XLOOKUP(A90,tbl_employee[employee_id],tbl_employee[role])</f>
        <v>Financial Analyst</v>
      </c>
      <c r="D90" s="50" t="str">
        <f>_xlfn.XLOOKUP(A90,tbl_employee[employee_id],tbl_employee[department])</f>
        <v>Finance</v>
      </c>
      <c r="E90" s="50" t="str">
        <f>_xlfn.XLOOKUP(A90,tbl_employee[employee_id],tbl_employee[gender])</f>
        <v>Female</v>
      </c>
      <c r="F90" s="50">
        <f>_xlfn.XLOOKUP(A90,tbl_employee[employee_id],tbl_employee[age])</f>
        <v>32</v>
      </c>
      <c r="G90" s="50" t="str" cm="1">
        <f t="array" ref="G90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0" s="51">
        <f>AVERAGEIF(tbl_performance[employee_id],A90,tbl_performance[performance_pct])</f>
        <v>1.0281565656565657</v>
      </c>
      <c r="I90" s="50">
        <f>COUNTIF(tbl_performance[employee_id],A90)</f>
        <v>12</v>
      </c>
      <c r="J90" s="50" t="str" cm="1">
        <f t="array" ref="J90">_xlfn.IFS(H90 &gt;= 1.1,"Excellent", H90&gt;=1,"Good",H90&gt;=0.85,"Average",TRUE,"Poor")</f>
        <v>Good</v>
      </c>
      <c r="K90" s="50">
        <f>_xlfn.RANK.EQ(tbl_employee_summary[[#This Row],[avg_performance_pct]], tbl_employee_summary[avg_performance_pct], 0)</f>
        <v>28</v>
      </c>
    </row>
    <row r="91" spans="1:11" ht="19.8" x14ac:dyDescent="0.65">
      <c r="A91" s="45" t="s">
        <v>215</v>
      </c>
      <c r="B91" s="50" t="str">
        <f>_xlfn.XLOOKUP(A91,tbl_employee[employee_id],tbl_employee[name])</f>
        <v>Rajesh Mohammed</v>
      </c>
      <c r="C91" s="50" t="str">
        <f>_xlfn.XLOOKUP(A91,tbl_employee[employee_id],tbl_employee[role])</f>
        <v>Senior Sales Executive</v>
      </c>
      <c r="D91" s="50" t="str">
        <f>_xlfn.XLOOKUP(A91,tbl_employee[employee_id],tbl_employee[department])</f>
        <v>Sales</v>
      </c>
      <c r="E91" s="50" t="str">
        <f>_xlfn.XLOOKUP(A91,tbl_employee[employee_id],tbl_employee[gender])</f>
        <v>Male</v>
      </c>
      <c r="F91" s="50">
        <f>_xlfn.XLOOKUP(A91,tbl_employee[employee_id],tbl_employee[age])</f>
        <v>30</v>
      </c>
      <c r="G91" s="50" t="str" cm="1">
        <f t="array" ref="G9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1" s="51">
        <f>AVERAGEIF(tbl_performance[employee_id],A91,tbl_performance[performance_pct])</f>
        <v>0.82419143268256601</v>
      </c>
      <c r="I91" s="50">
        <f>COUNTIF(tbl_performance[employee_id],A91)</f>
        <v>12</v>
      </c>
      <c r="J91" s="50" t="str" cm="1">
        <f t="array" ref="J91">_xlfn.IFS(H91 &gt;= 1.1,"Excellent", H91&gt;=1,"Good",H91&gt;=0.85,"Average",TRUE,"Poor")</f>
        <v>Poor</v>
      </c>
      <c r="K91" s="50">
        <f>_xlfn.RANK.EQ(tbl_employee_summary[[#This Row],[avg_performance_pct]], tbl_employee_summary[avg_performance_pct], 0)</f>
        <v>87</v>
      </c>
    </row>
    <row r="92" spans="1:11" ht="19.8" x14ac:dyDescent="0.65">
      <c r="A92" s="45" t="s">
        <v>217</v>
      </c>
      <c r="B92" s="50" t="str">
        <f>_xlfn.XLOOKUP(A92,tbl_employee[employee_id],tbl_employee[name])</f>
        <v>Nikhil Hussain</v>
      </c>
      <c r="C92" s="50" t="str">
        <f>_xlfn.XLOOKUP(A92,tbl_employee[employee_id],tbl_employee[role])</f>
        <v>Operations Associate</v>
      </c>
      <c r="D92" s="50" t="str">
        <f>_xlfn.XLOOKUP(A92,tbl_employee[employee_id],tbl_employee[department])</f>
        <v>Operations</v>
      </c>
      <c r="E92" s="50" t="str">
        <f>_xlfn.XLOOKUP(A92,tbl_employee[employee_id],tbl_employee[gender])</f>
        <v>Male</v>
      </c>
      <c r="F92" s="50">
        <f>_xlfn.XLOOKUP(A92,tbl_employee[employee_id],tbl_employee[age])</f>
        <v>25</v>
      </c>
      <c r="G92" s="50" t="str" cm="1">
        <f t="array" ref="G92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92" s="51">
        <f>AVERAGEIF(tbl_performance[employee_id],A92,tbl_performance[performance_pct])</f>
        <v>0.9549606149377029</v>
      </c>
      <c r="I92" s="50">
        <f>COUNTIF(tbl_performance[employee_id],A92)</f>
        <v>12</v>
      </c>
      <c r="J92" s="50" t="str" cm="1">
        <f t="array" ref="J92">_xlfn.IFS(H92 &gt;= 1.1,"Excellent", H92&gt;=1,"Good",H92&gt;=0.85,"Average",TRUE,"Poor")</f>
        <v>Average</v>
      </c>
      <c r="K92" s="50">
        <f>_xlfn.RANK.EQ(tbl_employee_summary[[#This Row],[avg_performance_pct]], tbl_employee_summary[avg_performance_pct], 0)</f>
        <v>59</v>
      </c>
    </row>
    <row r="93" spans="1:11" ht="19.8" x14ac:dyDescent="0.65">
      <c r="A93" s="45" t="s">
        <v>219</v>
      </c>
      <c r="B93" s="50" t="str">
        <f>_xlfn.XLOOKUP(A93,tbl_employee[employee_id],tbl_employee[name])</f>
        <v>Ravi Nair</v>
      </c>
      <c r="C93" s="50" t="str">
        <f>_xlfn.XLOOKUP(A93,tbl_employee[employee_id],tbl_employee[role])</f>
        <v>Senior Software Engineer</v>
      </c>
      <c r="D93" s="50" t="str">
        <f>_xlfn.XLOOKUP(A93,tbl_employee[employee_id],tbl_employee[department])</f>
        <v>Engineering</v>
      </c>
      <c r="E93" s="50" t="str">
        <f>_xlfn.XLOOKUP(A93,tbl_employee[employee_id],tbl_employee[gender])</f>
        <v>Male</v>
      </c>
      <c r="F93" s="50">
        <f>_xlfn.XLOOKUP(A93,tbl_employee[employee_id],tbl_employee[age])</f>
        <v>29</v>
      </c>
      <c r="G93" s="50" t="str" cm="1">
        <f t="array" ref="G93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93" s="51">
        <f>AVERAGEIF(tbl_performance[employee_id],A93,tbl_performance[performance_pct])</f>
        <v>1.0233681619372408</v>
      </c>
      <c r="I93" s="50">
        <f>COUNTIF(tbl_performance[employee_id],A93)</f>
        <v>12</v>
      </c>
      <c r="J93" s="50" t="str" cm="1">
        <f t="array" ref="J93">_xlfn.IFS(H93 &gt;= 1.1,"Excellent", H93&gt;=1,"Good",H93&gt;=0.85,"Average",TRUE,"Poor")</f>
        <v>Good</v>
      </c>
      <c r="K93" s="50">
        <f>_xlfn.RANK.EQ(tbl_employee_summary[[#This Row],[avg_performance_pct]], tbl_employee_summary[avg_performance_pct], 0)</f>
        <v>32</v>
      </c>
    </row>
    <row r="94" spans="1:11" ht="19.8" x14ac:dyDescent="0.65">
      <c r="A94" s="45" t="s">
        <v>221</v>
      </c>
      <c r="B94" s="50" t="str">
        <f>_xlfn.XLOOKUP(A94,tbl_employee[employee_id],tbl_employee[name])</f>
        <v>Andrew Ali</v>
      </c>
      <c r="C94" s="50" t="str">
        <f>_xlfn.XLOOKUP(A94,tbl_employee[employee_id],tbl_employee[role])</f>
        <v>Senior Software Engineer</v>
      </c>
      <c r="D94" s="50" t="str">
        <f>_xlfn.XLOOKUP(A94,tbl_employee[employee_id],tbl_employee[department])</f>
        <v>Engineering</v>
      </c>
      <c r="E94" s="50" t="str">
        <f>_xlfn.XLOOKUP(A94,tbl_employee[employee_id],tbl_employee[gender])</f>
        <v>Male</v>
      </c>
      <c r="F94" s="50">
        <f>_xlfn.XLOOKUP(A94,tbl_employee[employee_id],tbl_employee[age])</f>
        <v>25</v>
      </c>
      <c r="G94" s="50" t="str" cm="1">
        <f t="array" ref="G94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94" s="51">
        <f>AVERAGEIF(tbl_performance[employee_id],A94,tbl_performance[performance_pct])</f>
        <v>1.0640784925668647</v>
      </c>
      <c r="I94" s="50">
        <f>COUNTIF(tbl_performance[employee_id],A94)</f>
        <v>12</v>
      </c>
      <c r="J94" s="50" t="str" cm="1">
        <f t="array" ref="J94">_xlfn.IFS(H94 &gt;= 1.1,"Excellent", H94&gt;=1,"Good",H94&gt;=0.85,"Average",TRUE,"Poor")</f>
        <v>Good</v>
      </c>
      <c r="K94" s="50">
        <f>_xlfn.RANK.EQ(tbl_employee_summary[[#This Row],[avg_performance_pct]], tbl_employee_summary[avg_performance_pct], 0)</f>
        <v>18</v>
      </c>
    </row>
    <row r="95" spans="1:11" ht="19.8" x14ac:dyDescent="0.65">
      <c r="A95" s="45" t="s">
        <v>223</v>
      </c>
      <c r="B95" s="50" t="str">
        <f>_xlfn.XLOOKUP(A95,tbl_employee[employee_id],tbl_employee[name])</f>
        <v>Andrew Lee</v>
      </c>
      <c r="C95" s="50" t="str">
        <f>_xlfn.XLOOKUP(A95,tbl_employee[employee_id],tbl_employee[role])</f>
        <v>Sales Executive</v>
      </c>
      <c r="D95" s="50" t="str">
        <f>_xlfn.XLOOKUP(A95,tbl_employee[employee_id],tbl_employee[department])</f>
        <v>Sales</v>
      </c>
      <c r="E95" s="50" t="str">
        <f>_xlfn.XLOOKUP(A95,tbl_employee[employee_id],tbl_employee[gender])</f>
        <v>Male</v>
      </c>
      <c r="F95" s="50">
        <f>_xlfn.XLOOKUP(A95,tbl_employee[employee_id],tbl_employee[age])</f>
        <v>33</v>
      </c>
      <c r="G95" s="50" t="str" cm="1">
        <f t="array" ref="G95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5" s="51">
        <f>AVERAGEIF(tbl_performance[employee_id],A95,tbl_performance[performance_pct])</f>
        <v>0.95400149187380379</v>
      </c>
      <c r="I95" s="50">
        <f>COUNTIF(tbl_performance[employee_id],A95)</f>
        <v>12</v>
      </c>
      <c r="J95" s="50" t="str" cm="1">
        <f t="array" ref="J95">_xlfn.IFS(H95 &gt;= 1.1,"Excellent", H95&gt;=1,"Good",H95&gt;=0.85,"Average",TRUE,"Poor")</f>
        <v>Average</v>
      </c>
      <c r="K95" s="50">
        <f>_xlfn.RANK.EQ(tbl_employee_summary[[#This Row],[avg_performance_pct]], tbl_employee_summary[avg_performance_pct], 0)</f>
        <v>60</v>
      </c>
    </row>
    <row r="96" spans="1:11" ht="19.8" x14ac:dyDescent="0.65">
      <c r="A96" s="45" t="s">
        <v>225</v>
      </c>
      <c r="B96" s="50" t="str">
        <f>_xlfn.XLOOKUP(A96,tbl_employee[employee_id],tbl_employee[name])</f>
        <v>Priya Al Mansoori</v>
      </c>
      <c r="C96" s="50" t="str">
        <f>_xlfn.XLOOKUP(A96,tbl_employee[employee_id],tbl_employee[role])</f>
        <v>Marketing Manager</v>
      </c>
      <c r="D96" s="50" t="str">
        <f>_xlfn.XLOOKUP(A96,tbl_employee[employee_id],tbl_employee[department])</f>
        <v>Marketing</v>
      </c>
      <c r="E96" s="50" t="str">
        <f>_xlfn.XLOOKUP(A96,tbl_employee[employee_id],tbl_employee[gender])</f>
        <v>Female</v>
      </c>
      <c r="F96" s="50">
        <f>_xlfn.XLOOKUP(A96,tbl_employee[employee_id],tbl_employee[age])</f>
        <v>35</v>
      </c>
      <c r="G96" s="50" t="str" cm="1">
        <f t="array" ref="G96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6" s="51">
        <f>AVERAGEIF(tbl_performance[employee_id],A96,tbl_performance[performance_pct])</f>
        <v>1.1176459867486948</v>
      </c>
      <c r="I96" s="50">
        <f>COUNTIF(tbl_performance[employee_id],A96)</f>
        <v>12</v>
      </c>
      <c r="J96" s="50" t="str" cm="1">
        <f t="array" ref="J96">_xlfn.IFS(H96 &gt;= 1.1,"Excellent", H96&gt;=1,"Good",H96&gt;=0.85,"Average",TRUE,"Poor")</f>
        <v>Excellent</v>
      </c>
      <c r="K96" s="50">
        <f>_xlfn.RANK.EQ(tbl_employee_summary[[#This Row],[avg_performance_pct]], tbl_employee_summary[avg_performance_pct], 0)</f>
        <v>4</v>
      </c>
    </row>
    <row r="97" spans="1:11" ht="19.8" x14ac:dyDescent="0.65">
      <c r="A97" s="45" t="s">
        <v>227</v>
      </c>
      <c r="B97" s="50" t="str">
        <f>_xlfn.XLOOKUP(A97,tbl_employee[employee_id],tbl_employee[name])</f>
        <v>Tom Sharma</v>
      </c>
      <c r="C97" s="50" t="str">
        <f>_xlfn.XLOOKUP(A97,tbl_employee[employee_id],tbl_employee[role])</f>
        <v>Sales Executive</v>
      </c>
      <c r="D97" s="50" t="str">
        <f>_xlfn.XLOOKUP(A97,tbl_employee[employee_id],tbl_employee[department])</f>
        <v>Sales</v>
      </c>
      <c r="E97" s="50" t="str">
        <f>_xlfn.XLOOKUP(A97,tbl_employee[employee_id],tbl_employee[gender])</f>
        <v>Male</v>
      </c>
      <c r="F97" s="50">
        <f>_xlfn.XLOOKUP(A97,tbl_employee[employee_id],tbl_employee[age])</f>
        <v>30</v>
      </c>
      <c r="G97" s="50" t="str" cm="1">
        <f t="array" ref="G97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7" s="51">
        <f>AVERAGEIF(tbl_performance[employee_id],A97,tbl_performance[performance_pct])</f>
        <v>0.9737315206813596</v>
      </c>
      <c r="I97" s="50">
        <f>COUNTIF(tbl_performance[employee_id],A97)</f>
        <v>12</v>
      </c>
      <c r="J97" s="50" t="str" cm="1">
        <f t="array" ref="J97">_xlfn.IFS(H97 &gt;= 1.1,"Excellent", H97&gt;=1,"Good",H97&gt;=0.85,"Average",TRUE,"Poor")</f>
        <v>Average</v>
      </c>
      <c r="K97" s="50">
        <f>_xlfn.RANK.EQ(tbl_employee_summary[[#This Row],[avg_performance_pct]], tbl_employee_summary[avg_performance_pct], 0)</f>
        <v>50</v>
      </c>
    </row>
    <row r="98" spans="1:11" ht="19.8" x14ac:dyDescent="0.65">
      <c r="A98" s="45" t="s">
        <v>229</v>
      </c>
      <c r="B98" s="50" t="str">
        <f>_xlfn.XLOOKUP(A98,tbl_employee[employee_id],tbl_employee[name])</f>
        <v>Adeel Wilson</v>
      </c>
      <c r="C98" s="50" t="str">
        <f>_xlfn.XLOOKUP(A98,tbl_employee[employee_id],tbl_employee[role])</f>
        <v>Marketing Executive</v>
      </c>
      <c r="D98" s="50" t="str">
        <f>_xlfn.XLOOKUP(A98,tbl_employee[employee_id],tbl_employee[department])</f>
        <v>Marketing</v>
      </c>
      <c r="E98" s="50" t="str">
        <f>_xlfn.XLOOKUP(A98,tbl_employee[employee_id],tbl_employee[gender])</f>
        <v>Male</v>
      </c>
      <c r="F98" s="50">
        <f>_xlfn.XLOOKUP(A98,tbl_employee[employee_id],tbl_employee[age])</f>
        <v>25</v>
      </c>
      <c r="G98" s="50" t="str" cm="1">
        <f t="array" ref="G98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98" s="51">
        <f>AVERAGEIF(tbl_performance[employee_id],A98,tbl_performance[performance_pct])</f>
        <v>1.0231853849207553</v>
      </c>
      <c r="I98" s="50">
        <f>COUNTIF(tbl_performance[employee_id],A98)</f>
        <v>12</v>
      </c>
      <c r="J98" s="50" t="str" cm="1">
        <f t="array" ref="J98">_xlfn.IFS(H98 &gt;= 1.1,"Excellent", H98&gt;=1,"Good",H98&gt;=0.85,"Average",TRUE,"Poor")</f>
        <v>Good</v>
      </c>
      <c r="K98" s="50">
        <f>_xlfn.RANK.EQ(tbl_employee_summary[[#This Row],[avg_performance_pct]], tbl_employee_summary[avg_performance_pct], 0)</f>
        <v>33</v>
      </c>
    </row>
    <row r="99" spans="1:11" ht="19.8" x14ac:dyDescent="0.65">
      <c r="A99" s="45" t="s">
        <v>231</v>
      </c>
      <c r="B99" s="50" t="str">
        <f>_xlfn.XLOOKUP(A99,tbl_employee[employee_id],tbl_employee[name])</f>
        <v>Daniel Wilson</v>
      </c>
      <c r="C99" s="50" t="str">
        <f>_xlfn.XLOOKUP(A99,tbl_employee[employee_id],tbl_employee[role])</f>
        <v>Sales Manager</v>
      </c>
      <c r="D99" s="50" t="str">
        <f>_xlfn.XLOOKUP(A99,tbl_employee[employee_id],tbl_employee[department])</f>
        <v>Sales</v>
      </c>
      <c r="E99" s="50" t="str">
        <f>_xlfn.XLOOKUP(A99,tbl_employee[employee_id],tbl_employee[gender])</f>
        <v>Male</v>
      </c>
      <c r="F99" s="50">
        <f>_xlfn.XLOOKUP(A99,tbl_employee[employee_id],tbl_employee[age])</f>
        <v>36</v>
      </c>
      <c r="G99" s="50" t="str" cm="1">
        <f t="array" ref="G99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99" s="51">
        <f>AVERAGEIF(tbl_performance[employee_id],A99,tbl_performance[performance_pct])</f>
        <v>1.0789232156904403</v>
      </c>
      <c r="I99" s="50">
        <f>COUNTIF(tbl_performance[employee_id],A99)</f>
        <v>12</v>
      </c>
      <c r="J99" s="50" t="str" cm="1">
        <f t="array" ref="J99">_xlfn.IFS(H99 &gt;= 1.1,"Excellent", H99&gt;=1,"Good",H99&gt;=0.85,"Average",TRUE,"Poor")</f>
        <v>Good</v>
      </c>
      <c r="K99" s="50">
        <f>_xlfn.RANK.EQ(tbl_employee_summary[[#This Row],[avg_performance_pct]], tbl_employee_summary[avg_performance_pct], 0)</f>
        <v>12</v>
      </c>
    </row>
    <row r="100" spans="1:11" ht="19.8" x14ac:dyDescent="0.65">
      <c r="A100" s="45" t="s">
        <v>233</v>
      </c>
      <c r="B100" s="50" t="str">
        <f>_xlfn.XLOOKUP(A100,tbl_employee[employee_id],tbl_employee[name])</f>
        <v>Steven Ali</v>
      </c>
      <c r="C100" s="50" t="str">
        <f>_xlfn.XLOOKUP(A100,tbl_employee[employee_id],tbl_employee[role])</f>
        <v>Software Engineer</v>
      </c>
      <c r="D100" s="50" t="str">
        <f>_xlfn.XLOOKUP(A100,tbl_employee[employee_id],tbl_employee[department])</f>
        <v>Engineering</v>
      </c>
      <c r="E100" s="50" t="str">
        <f>_xlfn.XLOOKUP(A100,tbl_employee[employee_id],tbl_employee[gender])</f>
        <v>Male</v>
      </c>
      <c r="F100" s="50">
        <f>_xlfn.XLOOKUP(A100,tbl_employee[employee_id],tbl_employee[age])</f>
        <v>27</v>
      </c>
      <c r="G100" s="50" t="str" cm="1">
        <f t="array" ref="G100">_xlfn.IFS(tbl_employee_summary[[#This Row],[age]]&lt;30,"Early Career",tbl_employee_summary[[#This Row],[age]]&lt;40,"Mid Career",tbl_employee_summary[[#This Row],[age]] &lt;50,"Senior",tbl_employee_summary[[#This Row],[age]]&gt;=50, "Experienced")</f>
        <v>Early Career</v>
      </c>
      <c r="H100" s="51">
        <f>AVERAGEIF(tbl_performance[employee_id],A100,tbl_performance[performance_pct])</f>
        <v>1.0519531080386344</v>
      </c>
      <c r="I100" s="50">
        <f>COUNTIF(tbl_performance[employee_id],A100)</f>
        <v>12</v>
      </c>
      <c r="J100" s="50" t="str" cm="1">
        <f t="array" ref="J100">_xlfn.IFS(H100 &gt;= 1.1,"Excellent", H100&gt;=1,"Good",H100&gt;=0.85,"Average",TRUE,"Poor")</f>
        <v>Good</v>
      </c>
      <c r="K100" s="50">
        <f>_xlfn.RANK.EQ(tbl_employee_summary[[#This Row],[avg_performance_pct]], tbl_employee_summary[avg_performance_pct], 0)</f>
        <v>22</v>
      </c>
    </row>
    <row r="101" spans="1:11" ht="19.8" x14ac:dyDescent="0.65">
      <c r="A101" s="45" t="s">
        <v>235</v>
      </c>
      <c r="B101" s="50" t="str">
        <f>_xlfn.XLOOKUP(A101,tbl_employee[employee_id],tbl_employee[name])</f>
        <v>Yasmin Mohammed</v>
      </c>
      <c r="C101" s="50" t="str">
        <f>_xlfn.XLOOKUP(A101,tbl_employee[employee_id],tbl_employee[role])</f>
        <v>Senior Support Associate</v>
      </c>
      <c r="D101" s="50" t="str">
        <f>_xlfn.XLOOKUP(A101,tbl_employee[employee_id],tbl_employee[department])</f>
        <v>Customer Support</v>
      </c>
      <c r="E101" s="50" t="str">
        <f>_xlfn.XLOOKUP(A101,tbl_employee[employee_id],tbl_employee[gender])</f>
        <v>Female</v>
      </c>
      <c r="F101" s="50">
        <f>_xlfn.XLOOKUP(A101,tbl_employee[employee_id],tbl_employee[age])</f>
        <v>35</v>
      </c>
      <c r="G101" s="50" t="str" cm="1">
        <f t="array" ref="G101">_xlfn.IFS(tbl_employee_summary[[#This Row],[age]]&lt;30,"Early Career",tbl_employee_summary[[#This Row],[age]]&lt;40,"Mid Career",tbl_employee_summary[[#This Row],[age]] &lt;50,"Senior",tbl_employee_summary[[#This Row],[age]]&gt;=50, "Experienced")</f>
        <v>Mid Career</v>
      </c>
      <c r="H101" s="51">
        <f>AVERAGEIF(tbl_performance[employee_id],A101,tbl_performance[performance_pct])</f>
        <v>0.72925981464595047</v>
      </c>
      <c r="I101" s="50">
        <f>COUNTIF(tbl_performance[employee_id],A101)</f>
        <v>12</v>
      </c>
      <c r="J101" s="50" t="str" cm="1">
        <f t="array" ref="J101">_xlfn.IFS(H101 &gt;= 1.1,"Excellent", H101&gt;=1,"Good",H101&gt;=0.85,"Average",TRUE,"Poor")</f>
        <v>Poor</v>
      </c>
      <c r="K101" s="50">
        <f>_xlfn.RANK.EQ(tbl_employee_summary[[#This Row],[avg_performance_pct]], tbl_employee_summary[avg_performance_pct], 0)</f>
        <v>96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1AD4-D3FD-40D5-87C9-C9100C8742AA}">
  <dimension ref="A1:P25"/>
  <sheetViews>
    <sheetView showGridLines="0" zoomScale="59" workbookViewId="0">
      <selection activeCell="O23" sqref="O23"/>
    </sheetView>
  </sheetViews>
  <sheetFormatPr defaultRowHeight="19.8" x14ac:dyDescent="0.65"/>
  <cols>
    <col min="1" max="1" width="14.77734375" style="50" customWidth="1"/>
    <col min="2" max="2" width="31.88671875" style="50" customWidth="1"/>
    <col min="3" max="3" width="27.44140625" style="50" customWidth="1"/>
    <col min="4" max="4" width="22.88671875" style="50" customWidth="1"/>
    <col min="5" max="5" width="22.5546875" style="50" customWidth="1"/>
    <col min="6" max="6" width="14.77734375" style="50" customWidth="1"/>
    <col min="7" max="7" width="21.5546875" style="50" customWidth="1"/>
    <col min="8" max="8" width="24.77734375" style="50" customWidth="1"/>
    <col min="9" max="9" width="22.21875" style="50" customWidth="1"/>
    <col min="10" max="10" width="21.33203125" style="50" customWidth="1"/>
    <col min="11" max="11" width="16.88671875" style="45" customWidth="1"/>
    <col min="12" max="12" width="8.88671875" style="45"/>
    <col min="13" max="13" width="11.88671875" style="45" customWidth="1"/>
    <col min="14" max="14" width="22.77734375" style="45" customWidth="1"/>
    <col min="15" max="15" width="19" style="45" customWidth="1"/>
    <col min="16" max="16" width="25.5546875" style="45" customWidth="1"/>
    <col min="17" max="16384" width="8.88671875" style="45"/>
  </cols>
  <sheetData>
    <row r="1" spans="1:16" ht="22.8" x14ac:dyDescent="0.65">
      <c r="A1" s="74" t="s">
        <v>341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6" x14ac:dyDescent="0.65">
      <c r="A2" s="73" t="s">
        <v>0</v>
      </c>
      <c r="B2" s="73" t="s">
        <v>1</v>
      </c>
      <c r="C2" s="73" t="s">
        <v>2</v>
      </c>
      <c r="D2" s="73" t="s">
        <v>3</v>
      </c>
      <c r="E2" s="84" t="s">
        <v>5</v>
      </c>
      <c r="F2" s="73" t="s">
        <v>4</v>
      </c>
      <c r="G2" s="73" t="s">
        <v>352</v>
      </c>
      <c r="H2" s="73" t="s">
        <v>347</v>
      </c>
      <c r="I2" s="73" t="s">
        <v>329</v>
      </c>
      <c r="J2" s="73" t="s">
        <v>327</v>
      </c>
      <c r="K2" s="73" t="s">
        <v>340</v>
      </c>
      <c r="M2" s="42" t="str">
        <f>K2</f>
        <v>rank</v>
      </c>
      <c r="N2" s="42" t="str">
        <f>B2</f>
        <v>name</v>
      </c>
      <c r="O2" s="42" t="str">
        <f>D2</f>
        <v>department</v>
      </c>
      <c r="P2" s="42" t="str">
        <f>H2</f>
        <v>avg_performance</v>
      </c>
    </row>
    <row r="3" spans="1:16" x14ac:dyDescent="0.65">
      <c r="A3" s="46" t="str" cm="1">
        <f t="array" ref="A3:K12">_xlfn._xlws.SORT(
    _xlfn._xlws.FILTER(tbl_employee_summary[], tbl_employee_summary[employee_rank]&lt;=10),
    COLUMNS(tbl_employee_summary[]),
    1
)</f>
        <v>EMP1002</v>
      </c>
      <c r="B3" s="46" t="str">
        <v>Karan Mathew</v>
      </c>
      <c r="C3" s="46" t="str">
        <v>Marketing Executive</v>
      </c>
      <c r="D3" s="46" t="str">
        <v>Marketing</v>
      </c>
      <c r="E3" s="47" t="str">
        <v>Male</v>
      </c>
      <c r="F3" s="46">
        <v>30</v>
      </c>
      <c r="G3" s="47" t="str">
        <v>Mid Career</v>
      </c>
      <c r="H3" s="48">
        <v>1.236086106230655</v>
      </c>
      <c r="I3" s="46">
        <v>12</v>
      </c>
      <c r="J3" s="46" t="str">
        <v>Excellent</v>
      </c>
      <c r="K3" s="49">
        <v>1</v>
      </c>
      <c r="M3" s="43">
        <f t="shared" ref="M3:M12" si="0">K3</f>
        <v>1</v>
      </c>
      <c r="N3" s="43" t="str">
        <f t="shared" ref="N3:N12" si="1">B3</f>
        <v>Karan Mathew</v>
      </c>
      <c r="O3" s="43" t="str">
        <f t="shared" ref="O3:O12" si="2">D3</f>
        <v>Marketing</v>
      </c>
      <c r="P3" s="44">
        <f t="shared" ref="P3:P12" si="3">H3</f>
        <v>1.236086106230655</v>
      </c>
    </row>
    <row r="4" spans="1:16" x14ac:dyDescent="0.65">
      <c r="A4" s="46" t="str">
        <v>EMP1056</v>
      </c>
      <c r="B4" s="46" t="str">
        <v>David Hussain</v>
      </c>
      <c r="C4" s="46" t="str">
        <v>Engineering Manager</v>
      </c>
      <c r="D4" s="46" t="str">
        <v>Engineering</v>
      </c>
      <c r="E4" s="47" t="str">
        <v>Male</v>
      </c>
      <c r="F4" s="46">
        <v>43</v>
      </c>
      <c r="G4" s="47" t="str">
        <v>Senior</v>
      </c>
      <c r="H4" s="48">
        <v>1.1487458897929734</v>
      </c>
      <c r="I4" s="46">
        <v>12</v>
      </c>
      <c r="J4" s="46" t="str">
        <v>Excellent</v>
      </c>
      <c r="K4" s="49">
        <v>2</v>
      </c>
      <c r="M4" s="43">
        <f t="shared" si="0"/>
        <v>2</v>
      </c>
      <c r="N4" s="43" t="str">
        <f t="shared" si="1"/>
        <v>David Hussain</v>
      </c>
      <c r="O4" s="43" t="str">
        <f t="shared" si="2"/>
        <v>Engineering</v>
      </c>
      <c r="P4" s="44">
        <f t="shared" si="3"/>
        <v>1.1487458897929734</v>
      </c>
    </row>
    <row r="5" spans="1:16" x14ac:dyDescent="0.65">
      <c r="A5" s="46" t="str">
        <v>EMP1066</v>
      </c>
      <c r="B5" s="46" t="str">
        <v>Wei Saeed</v>
      </c>
      <c r="C5" s="46" t="str">
        <v>Content Specialist</v>
      </c>
      <c r="D5" s="46" t="str">
        <v>Marketing</v>
      </c>
      <c r="E5" s="47" t="str">
        <v>Male</v>
      </c>
      <c r="F5" s="46">
        <v>28</v>
      </c>
      <c r="G5" s="47" t="str">
        <v>Early Career</v>
      </c>
      <c r="H5" s="48">
        <v>1.1200548625885183</v>
      </c>
      <c r="I5" s="46">
        <v>10</v>
      </c>
      <c r="J5" s="46" t="str">
        <v>Excellent</v>
      </c>
      <c r="K5" s="49">
        <v>3</v>
      </c>
      <c r="M5" s="43">
        <f t="shared" si="0"/>
        <v>3</v>
      </c>
      <c r="N5" s="43" t="str">
        <f t="shared" si="1"/>
        <v>Wei Saeed</v>
      </c>
      <c r="O5" s="43" t="str">
        <f t="shared" si="2"/>
        <v>Marketing</v>
      </c>
      <c r="P5" s="44">
        <f t="shared" si="3"/>
        <v>1.1200548625885183</v>
      </c>
    </row>
    <row r="6" spans="1:16" x14ac:dyDescent="0.65">
      <c r="A6" s="46" t="str">
        <v>EMP1095</v>
      </c>
      <c r="B6" s="46" t="str">
        <v>Priya Al Mansoori</v>
      </c>
      <c r="C6" s="46" t="str">
        <v>Marketing Manager</v>
      </c>
      <c r="D6" s="46" t="str">
        <v>Marketing</v>
      </c>
      <c r="E6" s="47" t="str">
        <v>Female</v>
      </c>
      <c r="F6" s="46">
        <v>35</v>
      </c>
      <c r="G6" s="47" t="str">
        <v>Mid Career</v>
      </c>
      <c r="H6" s="48">
        <v>1.1176459867486948</v>
      </c>
      <c r="I6" s="46">
        <v>12</v>
      </c>
      <c r="J6" s="46" t="str">
        <v>Excellent</v>
      </c>
      <c r="K6" s="49">
        <v>4</v>
      </c>
      <c r="M6" s="43">
        <f t="shared" si="0"/>
        <v>4</v>
      </c>
      <c r="N6" s="43" t="str">
        <f t="shared" si="1"/>
        <v>Priya Al Mansoori</v>
      </c>
      <c r="O6" s="43" t="str">
        <f t="shared" si="2"/>
        <v>Marketing</v>
      </c>
      <c r="P6" s="44">
        <f t="shared" si="3"/>
        <v>1.1176459867486948</v>
      </c>
    </row>
    <row r="7" spans="1:16" x14ac:dyDescent="0.65">
      <c r="A7" s="46" t="str">
        <v>EMP1019</v>
      </c>
      <c r="B7" s="46" t="str">
        <v>Faisal Sharma</v>
      </c>
      <c r="C7" s="46" t="str">
        <v>Financial Analyst</v>
      </c>
      <c r="D7" s="46" t="str">
        <v>Finance</v>
      </c>
      <c r="E7" s="47" t="str">
        <v>Male</v>
      </c>
      <c r="F7" s="46">
        <v>37</v>
      </c>
      <c r="G7" s="47" t="str">
        <v>Mid Career</v>
      </c>
      <c r="H7" s="48">
        <v>1.1130407334211683</v>
      </c>
      <c r="I7" s="46">
        <v>12</v>
      </c>
      <c r="J7" s="46" t="str">
        <v>Excellent</v>
      </c>
      <c r="K7" s="49">
        <v>5</v>
      </c>
      <c r="M7" s="43">
        <f t="shared" si="0"/>
        <v>5</v>
      </c>
      <c r="N7" s="43" t="str">
        <f t="shared" si="1"/>
        <v>Faisal Sharma</v>
      </c>
      <c r="O7" s="43" t="str">
        <f t="shared" si="2"/>
        <v>Finance</v>
      </c>
      <c r="P7" s="44">
        <f t="shared" si="3"/>
        <v>1.1130407334211683</v>
      </c>
    </row>
    <row r="8" spans="1:16" x14ac:dyDescent="0.65">
      <c r="A8" s="46" t="str">
        <v>EMP1067</v>
      </c>
      <c r="B8" s="46" t="str">
        <v>Pooja Iqbal</v>
      </c>
      <c r="C8" s="46" t="str">
        <v>Finance Manager</v>
      </c>
      <c r="D8" s="46" t="str">
        <v>Finance</v>
      </c>
      <c r="E8" s="47" t="str">
        <v>Female</v>
      </c>
      <c r="F8" s="46">
        <v>44</v>
      </c>
      <c r="G8" s="47" t="str">
        <v>Senior</v>
      </c>
      <c r="H8" s="48">
        <v>1.1114569461883281</v>
      </c>
      <c r="I8" s="46">
        <v>12</v>
      </c>
      <c r="J8" s="46" t="str">
        <v>Excellent</v>
      </c>
      <c r="K8" s="49">
        <v>6</v>
      </c>
      <c r="M8" s="43">
        <f t="shared" si="0"/>
        <v>6</v>
      </c>
      <c r="N8" s="43" t="str">
        <f t="shared" si="1"/>
        <v>Pooja Iqbal</v>
      </c>
      <c r="O8" s="43" t="str">
        <f t="shared" si="2"/>
        <v>Finance</v>
      </c>
      <c r="P8" s="44">
        <f t="shared" si="3"/>
        <v>1.1114569461883281</v>
      </c>
    </row>
    <row r="9" spans="1:16" x14ac:dyDescent="0.65">
      <c r="A9" s="46" t="str">
        <v>EMP1085</v>
      </c>
      <c r="B9" s="46" t="str">
        <v>Anjali Smith</v>
      </c>
      <c r="C9" s="46" t="str">
        <v>Software Engineer</v>
      </c>
      <c r="D9" s="46" t="str">
        <v>Engineering</v>
      </c>
      <c r="E9" s="47" t="str">
        <v>Female</v>
      </c>
      <c r="F9" s="46">
        <v>27</v>
      </c>
      <c r="G9" s="47" t="str">
        <v>Early Career</v>
      </c>
      <c r="H9" s="48">
        <v>1.1091172220157726</v>
      </c>
      <c r="I9" s="46">
        <v>12</v>
      </c>
      <c r="J9" s="46" t="str">
        <v>Excellent</v>
      </c>
      <c r="K9" s="49">
        <v>7</v>
      </c>
      <c r="M9" s="43">
        <f t="shared" si="0"/>
        <v>7</v>
      </c>
      <c r="N9" s="43" t="str">
        <f t="shared" si="1"/>
        <v>Anjali Smith</v>
      </c>
      <c r="O9" s="43" t="str">
        <f t="shared" si="2"/>
        <v>Engineering</v>
      </c>
      <c r="P9" s="44">
        <f t="shared" si="3"/>
        <v>1.1091172220157726</v>
      </c>
    </row>
    <row r="10" spans="1:16" x14ac:dyDescent="0.65">
      <c r="A10" s="46" t="str">
        <v>EMP1028</v>
      </c>
      <c r="B10" s="46" t="str">
        <v>Rachel Garcia</v>
      </c>
      <c r="C10" s="46" t="str">
        <v>Finance Manager</v>
      </c>
      <c r="D10" s="46" t="str">
        <v>Finance</v>
      </c>
      <c r="E10" s="47" t="str">
        <v>Female</v>
      </c>
      <c r="F10" s="46">
        <v>41</v>
      </c>
      <c r="G10" s="47" t="str">
        <v>Senior</v>
      </c>
      <c r="H10" s="48">
        <v>1.1045083783655969</v>
      </c>
      <c r="I10" s="46">
        <v>12</v>
      </c>
      <c r="J10" s="46" t="str">
        <v>Excellent</v>
      </c>
      <c r="K10" s="49">
        <v>8</v>
      </c>
      <c r="M10" s="43">
        <f t="shared" si="0"/>
        <v>8</v>
      </c>
      <c r="N10" s="43" t="str">
        <f t="shared" si="1"/>
        <v>Rachel Garcia</v>
      </c>
      <c r="O10" s="43" t="str">
        <f t="shared" si="2"/>
        <v>Finance</v>
      </c>
      <c r="P10" s="44">
        <f t="shared" si="3"/>
        <v>1.1045083783655969</v>
      </c>
    </row>
    <row r="11" spans="1:16" x14ac:dyDescent="0.65">
      <c r="A11" s="46" t="str">
        <v>EMP1068</v>
      </c>
      <c r="B11" s="46" t="str">
        <v>Omar Iqbal</v>
      </c>
      <c r="C11" s="46" t="str">
        <v>Senior Sales Executive</v>
      </c>
      <c r="D11" s="46" t="str">
        <v>Sales</v>
      </c>
      <c r="E11" s="47" t="str">
        <v>Male</v>
      </c>
      <c r="F11" s="46">
        <v>25</v>
      </c>
      <c r="G11" s="47" t="str">
        <v>Early Career</v>
      </c>
      <c r="H11" s="48">
        <v>1.096421865876672</v>
      </c>
      <c r="I11" s="46">
        <v>12</v>
      </c>
      <c r="J11" s="46" t="str">
        <v>Good</v>
      </c>
      <c r="K11" s="49">
        <v>9</v>
      </c>
      <c r="M11" s="43">
        <f t="shared" si="0"/>
        <v>9</v>
      </c>
      <c r="N11" s="43" t="str">
        <f t="shared" si="1"/>
        <v>Omar Iqbal</v>
      </c>
      <c r="O11" s="43" t="str">
        <f t="shared" si="2"/>
        <v>Sales</v>
      </c>
      <c r="P11" s="44">
        <f t="shared" si="3"/>
        <v>1.096421865876672</v>
      </c>
    </row>
    <row r="12" spans="1:16" x14ac:dyDescent="0.65">
      <c r="A12" s="46" t="str">
        <v>EMP1049</v>
      </c>
      <c r="B12" s="46" t="str">
        <v>Steven Verma</v>
      </c>
      <c r="C12" s="46" t="str">
        <v>Software Engineer</v>
      </c>
      <c r="D12" s="46" t="str">
        <v>Engineering</v>
      </c>
      <c r="E12" s="47" t="str">
        <v>Male</v>
      </c>
      <c r="F12" s="46">
        <v>22</v>
      </c>
      <c r="G12" s="47" t="str">
        <v>Early Career</v>
      </c>
      <c r="H12" s="48">
        <v>1.0849737762237761</v>
      </c>
      <c r="I12" s="46">
        <v>12</v>
      </c>
      <c r="J12" s="46" t="str">
        <v>Good</v>
      </c>
      <c r="K12" s="49">
        <v>10</v>
      </c>
      <c r="M12" s="43">
        <f t="shared" si="0"/>
        <v>10</v>
      </c>
      <c r="N12" s="43" t="str">
        <f t="shared" si="1"/>
        <v>Steven Verma</v>
      </c>
      <c r="O12" s="43" t="str">
        <f t="shared" si="2"/>
        <v>Engineering</v>
      </c>
      <c r="P12" s="44">
        <f t="shared" si="3"/>
        <v>1.0849737762237761</v>
      </c>
    </row>
    <row r="14" spans="1:16" ht="22.8" x14ac:dyDescent="0.65">
      <c r="A14" s="74" t="s">
        <v>342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</row>
    <row r="15" spans="1:16" x14ac:dyDescent="0.65">
      <c r="A15" s="73" t="s">
        <v>0</v>
      </c>
      <c r="B15" s="73" t="s">
        <v>1</v>
      </c>
      <c r="C15" s="73" t="s">
        <v>2</v>
      </c>
      <c r="D15" s="73" t="s">
        <v>3</v>
      </c>
      <c r="E15" s="84" t="s">
        <v>5</v>
      </c>
      <c r="F15" s="73" t="s">
        <v>4</v>
      </c>
      <c r="G15" s="73" t="s">
        <v>352</v>
      </c>
      <c r="H15" s="73" t="s">
        <v>347</v>
      </c>
      <c r="I15" s="73" t="s">
        <v>329</v>
      </c>
      <c r="J15" s="73" t="s">
        <v>327</v>
      </c>
      <c r="K15" s="73" t="s">
        <v>340</v>
      </c>
    </row>
    <row r="16" spans="1:16" x14ac:dyDescent="0.65">
      <c r="A16" s="46" t="str" cm="1">
        <f t="array" ref="A16:K25">_xlfn._xlws.SORT(
    _xlfn._xlws.FILTER(tbl_employee_summary[], tbl_employee_summary[employee_rank]&gt;=91),
    COLUMNS(tbl_employee_summary[]),
    1
)</f>
        <v>EMP1007</v>
      </c>
      <c r="B16" s="46" t="str">
        <v>Wei Patel</v>
      </c>
      <c r="C16" s="46" t="str">
        <v>Senior Support Associate</v>
      </c>
      <c r="D16" s="46" t="str">
        <v>Customer Support</v>
      </c>
      <c r="E16" s="47" t="str">
        <v>Male</v>
      </c>
      <c r="F16" s="46">
        <v>34</v>
      </c>
      <c r="G16" s="47" t="str">
        <v>Mid Career</v>
      </c>
      <c r="H16" s="48">
        <v>0.80034900811378873</v>
      </c>
      <c r="I16" s="46">
        <v>10</v>
      </c>
      <c r="J16" s="46" t="str">
        <v>Poor</v>
      </c>
      <c r="K16" s="49">
        <v>91</v>
      </c>
    </row>
    <row r="17" spans="1:11" x14ac:dyDescent="0.65">
      <c r="A17" s="46" t="str">
        <v>EMP1018</v>
      </c>
      <c r="B17" s="46" t="str">
        <v>Karan Al Mansoori</v>
      </c>
      <c r="C17" s="46" t="str">
        <v>Senior Support Associate</v>
      </c>
      <c r="D17" s="46" t="str">
        <v>Customer Support</v>
      </c>
      <c r="E17" s="47" t="str">
        <v>Male</v>
      </c>
      <c r="F17" s="46">
        <v>30</v>
      </c>
      <c r="G17" s="47" t="str">
        <v>Mid Career</v>
      </c>
      <c r="H17" s="48">
        <v>0.79703746458283631</v>
      </c>
      <c r="I17" s="46">
        <v>3</v>
      </c>
      <c r="J17" s="46" t="str">
        <v>Poor</v>
      </c>
      <c r="K17" s="49">
        <v>92</v>
      </c>
    </row>
    <row r="18" spans="1:11" x14ac:dyDescent="0.65">
      <c r="A18" s="46" t="str">
        <v>EMP1062</v>
      </c>
      <c r="B18" s="46" t="str">
        <v>Rajesh Abdullah</v>
      </c>
      <c r="C18" s="46" t="str">
        <v>Support Associate</v>
      </c>
      <c r="D18" s="46" t="str">
        <v>Customer Support</v>
      </c>
      <c r="E18" s="47" t="str">
        <v>Male</v>
      </c>
      <c r="F18" s="46">
        <v>24</v>
      </c>
      <c r="G18" s="47" t="str">
        <v>Early Career</v>
      </c>
      <c r="H18" s="48">
        <v>0.79511173106583344</v>
      </c>
      <c r="I18" s="46">
        <v>12</v>
      </c>
      <c r="J18" s="46" t="str">
        <v>Poor</v>
      </c>
      <c r="K18" s="49">
        <v>93</v>
      </c>
    </row>
    <row r="19" spans="1:11" x14ac:dyDescent="0.65">
      <c r="A19" s="46" t="str">
        <v>EMP1014</v>
      </c>
      <c r="B19" s="46" t="str">
        <v>Vikram Hussain</v>
      </c>
      <c r="C19" s="46" t="str">
        <v>Sales Executive</v>
      </c>
      <c r="D19" s="46" t="str">
        <v>Sales</v>
      </c>
      <c r="E19" s="47" t="str">
        <v>Male</v>
      </c>
      <c r="F19" s="46">
        <v>26</v>
      </c>
      <c r="G19" s="47" t="str">
        <v>Early Career</v>
      </c>
      <c r="H19" s="48">
        <v>0.78866064008383885</v>
      </c>
      <c r="I19" s="46">
        <v>12</v>
      </c>
      <c r="J19" s="46" t="str">
        <v>Poor</v>
      </c>
      <c r="K19" s="49">
        <v>94</v>
      </c>
    </row>
    <row r="20" spans="1:11" x14ac:dyDescent="0.65">
      <c r="A20" s="46" t="str">
        <v>EMP1087</v>
      </c>
      <c r="B20" s="46" t="str">
        <v>Zara Brown</v>
      </c>
      <c r="C20" s="46" t="str">
        <v>Sales Executive</v>
      </c>
      <c r="D20" s="46" t="str">
        <v>Sales</v>
      </c>
      <c r="E20" s="47" t="str">
        <v>Female</v>
      </c>
      <c r="F20" s="46">
        <v>33</v>
      </c>
      <c r="G20" s="47" t="str">
        <v>Mid Career</v>
      </c>
      <c r="H20" s="48">
        <v>0.74955650212475955</v>
      </c>
      <c r="I20" s="46">
        <v>12</v>
      </c>
      <c r="J20" s="46" t="str">
        <v>Poor</v>
      </c>
      <c r="K20" s="49">
        <v>95</v>
      </c>
    </row>
    <row r="21" spans="1:11" x14ac:dyDescent="0.65">
      <c r="A21" s="46" t="str">
        <v>EMP1100</v>
      </c>
      <c r="B21" s="46" t="str">
        <v>Yasmin Mohammed</v>
      </c>
      <c r="C21" s="46" t="str">
        <v>Senior Support Associate</v>
      </c>
      <c r="D21" s="46" t="str">
        <v>Customer Support</v>
      </c>
      <c r="E21" s="47" t="str">
        <v>Female</v>
      </c>
      <c r="F21" s="46">
        <v>35</v>
      </c>
      <c r="G21" s="47" t="str">
        <v>Mid Career</v>
      </c>
      <c r="H21" s="48">
        <v>0.72925981464595047</v>
      </c>
      <c r="I21" s="46">
        <v>12</v>
      </c>
      <c r="J21" s="46" t="str">
        <v>Poor</v>
      </c>
      <c r="K21" s="49">
        <v>96</v>
      </c>
    </row>
    <row r="22" spans="1:11" x14ac:dyDescent="0.65">
      <c r="A22" s="46" t="str">
        <v>EMP1088</v>
      </c>
      <c r="B22" s="46" t="str">
        <v>Karan Al Mansoori</v>
      </c>
      <c r="C22" s="46" t="str">
        <v>Sales Executive</v>
      </c>
      <c r="D22" s="46" t="str">
        <v>Sales</v>
      </c>
      <c r="E22" s="47" t="str">
        <v>Male</v>
      </c>
      <c r="F22" s="46">
        <v>26</v>
      </c>
      <c r="G22" s="47" t="str">
        <v>Early Career</v>
      </c>
      <c r="H22" s="48">
        <v>0.72250351180171446</v>
      </c>
      <c r="I22" s="46">
        <v>12</v>
      </c>
      <c r="J22" s="46" t="str">
        <v>Poor</v>
      </c>
      <c r="K22" s="49">
        <v>97</v>
      </c>
    </row>
    <row r="23" spans="1:11" x14ac:dyDescent="0.65">
      <c r="A23" s="46" t="str">
        <v>EMP1035</v>
      </c>
      <c r="B23" s="46" t="str">
        <v>John Gupta</v>
      </c>
      <c r="C23" s="46" t="str">
        <v>Support Associate</v>
      </c>
      <c r="D23" s="46" t="str">
        <v>Customer Support</v>
      </c>
      <c r="E23" s="47" t="str">
        <v>Male</v>
      </c>
      <c r="F23" s="46">
        <v>24</v>
      </c>
      <c r="G23" s="47" t="str">
        <v>Early Career</v>
      </c>
      <c r="H23" s="48">
        <v>0.70884025123796945</v>
      </c>
      <c r="I23" s="46">
        <v>12</v>
      </c>
      <c r="J23" s="46" t="str">
        <v>Poor</v>
      </c>
      <c r="K23" s="49">
        <v>98</v>
      </c>
    </row>
    <row r="24" spans="1:11" x14ac:dyDescent="0.65">
      <c r="A24" s="46" t="str">
        <v>EMP1070</v>
      </c>
      <c r="B24" s="46" t="str">
        <v>Huda Gupta</v>
      </c>
      <c r="C24" s="46" t="str">
        <v>Senior Sales Executive</v>
      </c>
      <c r="D24" s="46" t="str">
        <v>Sales</v>
      </c>
      <c r="E24" s="47" t="str">
        <v>Female</v>
      </c>
      <c r="F24" s="46">
        <v>39</v>
      </c>
      <c r="G24" s="47" t="str">
        <v>Mid Career</v>
      </c>
      <c r="H24" s="48">
        <v>0.70131325251075671</v>
      </c>
      <c r="I24" s="46">
        <v>12</v>
      </c>
      <c r="J24" s="46" t="str">
        <v>Poor</v>
      </c>
      <c r="K24" s="49">
        <v>99</v>
      </c>
    </row>
    <row r="25" spans="1:11" x14ac:dyDescent="0.65">
      <c r="A25" s="46" t="str">
        <v>EMP1052</v>
      </c>
      <c r="B25" s="46" t="str">
        <v>Sana Ali</v>
      </c>
      <c r="C25" s="46" t="str">
        <v>Support Associate</v>
      </c>
      <c r="D25" s="46" t="str">
        <v>Customer Support</v>
      </c>
      <c r="E25" s="47" t="str">
        <v>Female</v>
      </c>
      <c r="F25" s="46">
        <v>22</v>
      </c>
      <c r="G25" s="47" t="str">
        <v>Early Career</v>
      </c>
      <c r="H25" s="48">
        <v>0.68567094578828114</v>
      </c>
      <c r="I25" s="46">
        <v>11</v>
      </c>
      <c r="J25" s="46" t="str">
        <v>Poor</v>
      </c>
      <c r="K25" s="49">
        <v>100</v>
      </c>
    </row>
  </sheetData>
  <mergeCells count="2">
    <mergeCell ref="A1:K1"/>
    <mergeCell ref="A14:K14"/>
  </mergeCells>
  <conditionalFormatting sqref="P3:P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1EF09D-3B2D-44EA-8AD8-2F7FFA1DBE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Pivot_Tables</vt:lpstr>
      <vt:lpstr>Data_Dictionary</vt:lpstr>
      <vt:lpstr>Data_Validation</vt:lpstr>
      <vt:lpstr>Data_Quality_Assessment</vt:lpstr>
      <vt:lpstr>Employee_Data</vt:lpstr>
      <vt:lpstr>Employee_Performance</vt:lpstr>
      <vt:lpstr>Employee_Summary</vt:lpstr>
      <vt:lpstr>Top_Bottom_Performers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Asiya Nizam</dc:creator>
  <cp:lastModifiedBy>Asiya Nizam</cp:lastModifiedBy>
  <dcterms:created xsi:type="dcterms:W3CDTF">2026-06-17T09:26:26Z</dcterms:created>
  <dcterms:modified xsi:type="dcterms:W3CDTF">2026-06-20T12:40:33Z</dcterms:modified>
</cp:coreProperties>
</file>